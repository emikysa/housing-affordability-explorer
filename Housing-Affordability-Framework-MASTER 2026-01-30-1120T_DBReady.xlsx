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defaultThemeVersion="202300"/>
  <mc:AlternateContent xmlns:mc="http://schemas.openxmlformats.org/markup-compatibility/2006">
    <mc:Choice Requires="x15">
      <x15ac:absPath xmlns:x15ac="http://schemas.microsoft.com/office/spreadsheetml/2010/11/ac" url="https://d.docs.live.net/e35d1e29511fc96d/Building/Housing Affordability/"/>
    </mc:Choice>
  </mc:AlternateContent>
  <xr:revisionPtr revIDLastSave="5515" documentId="8_{C53C6257-9ACF-BF41-85FC-530E46D92040}" xr6:coauthVersionLast="47" xr6:coauthVersionMax="47" xr10:uidLastSave="{B8E45E7E-9400-914F-A5D6-D3AD4F1CECF8}"/>
  <bookViews>
    <workbookView xWindow="2200" yWindow="1700" windowWidth="51460" windowHeight="26440" activeTab="1" xr2:uid="{CB4D6DF9-425C-3147-AA60-9CDE922CF812}"/>
  </bookViews>
  <sheets>
    <sheet name="Overview" sheetId="5" r:id="rId1"/>
    <sheet name="1) Cost Elements" sheetId="2" r:id="rId2"/>
    <sheet name="2) Reduction Opportunities" sheetId="4" r:id="rId3"/>
    <sheet name="3) Barriers and Levers" sheetId="1" r:id="rId4"/>
    <sheet name="4) Actor Control Matrix" sheetId="6" r:id="rId5"/>
    <sheet name="5) Financing Conditions" sheetId="7" r:id="rId6"/>
    <sheet name="6) CRO-CE Map" sheetId="9" r:id="rId7"/>
    <sheet name="7) Controlled Vocabularies" sheetId="10" r:id="rId8"/>
    <sheet name="8) Scenarios" sheetId="11" r:id="rId9"/>
    <sheet name="9) DB Schema" sheetId="12" r:id="rId10"/>
    <sheet name="1z) Cost Elements - Summary" sheetId="13" r:id="rId11"/>
    <sheet name="Changelog" sheetId="14" r:id="rId12"/>
  </sheets>
  <definedNames>
    <definedName name="_xlnm._FilterDatabase" localSheetId="1">'1) Cost Elements'!$A$5:$E$5</definedName>
    <definedName name="_xlnm._FilterDatabase" localSheetId="2" hidden="1">'2) Reduction Opportunities'!$A$5:$K$5</definedName>
    <definedName name="_xlnm._FilterDatabase" localSheetId="3" hidden="1">'3) Barriers and Levers'!$A$5:$L$76</definedName>
    <definedName name="_xlnm._FilterDatabase" localSheetId="4" hidden="1">'4) Actor Control Matrix'!$A$5:$E$5</definedName>
    <definedName name="_xlnm.Print_Area" localSheetId="1">'1) Cost Elements'!$A$3:$H$33</definedName>
    <definedName name="_xlnm.Print_Area" localSheetId="2">'2) Reduction Opportunities'!$A$3:$K$29</definedName>
    <definedName name="_xlnm.Print_Area" localSheetId="3">'3) Barriers and Levers'!$A$3:$L$77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36" i="12" l="1" a="1"/>
  <c r="A236" i="12" s="1"/>
  <c r="A231" i="12" a="1"/>
  <c r="A231" i="12" s="1"/>
  <c r="A228" i="12" a="1"/>
  <c r="A228" i="12" s="1"/>
  <c r="A150" i="12" a="1"/>
  <c r="A150" i="12" s="1"/>
  <c r="A136" i="12" a="1"/>
  <c r="A136" i="12" s="1"/>
  <c r="A117" i="12" a="1"/>
  <c r="A117" i="12" s="1"/>
  <c r="A50" i="12" a="1"/>
  <c r="A50" i="12" s="1"/>
  <c r="A5" i="12" a="1"/>
  <c r="A5" i="12" s="1"/>
  <c r="A44" i="6" l="1"/>
  <c r="B44" i="6"/>
  <c r="C44"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<sst xmlns="http://schemas.openxmlformats.org/spreadsheetml/2006/main" count="2156" uniqueCount="1052">
  <si>
    <t>Effect (mechanism)</t>
  </si>
  <si>
    <t>A2</t>
  </si>
  <si>
    <t>Forces low-density forms with higher per-unit land cost</t>
  </si>
  <si>
    <t>Municipality, zoning board</t>
  </si>
  <si>
    <t>A2, A10</t>
  </si>
  <si>
    <t>A3</t>
  </si>
  <si>
    <t>A3, A10</t>
  </si>
  <si>
    <t>Code bodies, building department</t>
  </si>
  <si>
    <t>A10</t>
  </si>
  <si>
    <t>A4</t>
  </si>
  <si>
    <t>A3, A4</t>
  </si>
  <si>
    <t>Municipalities, HOAs</t>
  </si>
  <si>
    <t>A5</t>
  </si>
  <si>
    <t>A6, A7</t>
  </si>
  <si>
    <t>Builders, general contractors</t>
  </si>
  <si>
    <t>A6</t>
  </si>
  <si>
    <t>Lenders, investors</t>
  </si>
  <si>
    <t>A9</t>
  </si>
  <si>
    <t>A8</t>
  </si>
  <si>
    <t>Shared infrastructure; offsite requirements drive high end</t>
  </si>
  <si>
    <t>Valuation-based permits + development review fees</t>
  </si>
  <si>
    <t>Stage</t>
  </si>
  <si>
    <t>Build</t>
  </si>
  <si>
    <t>Operate</t>
  </si>
  <si>
    <t>Utilities</t>
  </si>
  <si>
    <t>Total</t>
  </si>
  <si>
    <t>Notes / assumptions</t>
  </si>
  <si>
    <t>One-time</t>
  </si>
  <si>
    <t>Monthly</t>
  </si>
  <si>
    <t>Minimum lot size in Land Use Code</t>
  </si>
  <si>
    <t>Limits cost sharing across units, increasing per-unit land cost</t>
  </si>
  <si>
    <t>City council, planning commission</t>
  </si>
  <si>
    <t>Zoning prohibits attached or multifamily housing</t>
  </si>
  <si>
    <t>HOA covenants prohibiting attached or clustered housing</t>
  </si>
  <si>
    <t>Prevents higher-yield housing types on eligible land</t>
  </si>
  <si>
    <t>HOA boards</t>
  </si>
  <si>
    <t>Utility setback requirements reduce buildable area</t>
  </si>
  <si>
    <t>Reduces achievable density, increasing land cost per unit</t>
  </si>
  <si>
    <t>Utilities, public works</t>
  </si>
  <si>
    <t>Public opposition to higher density</t>
  </si>
  <si>
    <t>Leads to political pressure to retain low-density zoning</t>
  </si>
  <si>
    <t>Elected officials</t>
  </si>
  <si>
    <t>Discretionary review and multiple approval bodies</t>
  </si>
  <si>
    <t>Extends holding time and increases land carry cost</t>
  </si>
  <si>
    <t>Planning department, city council</t>
  </si>
  <si>
    <t>Unclear or shifting application requirements</t>
  </si>
  <si>
    <t>Causes redesign, delay, and additional holding cost</t>
  </si>
  <si>
    <t>Planning department</t>
  </si>
  <si>
    <t>Limited staffing for development review</t>
  </si>
  <si>
    <t>Creates queue delays unrelated to project quality</t>
  </si>
  <si>
    <t>Municipality</t>
  </si>
  <si>
    <t>Valuation-based permit fees scale with construction cost</t>
  </si>
  <si>
    <t>Increases cost for high-performance or durable buildings</t>
  </si>
  <si>
    <t>Building department</t>
  </si>
  <si>
    <t>Multiple plan check cycles with resubmittals</t>
  </si>
  <si>
    <t>Adds review fees and consultant costs</t>
  </si>
  <si>
    <t>Flat water and wastewater tap fees per unit</t>
  </si>
  <si>
    <t>Disproportionately increases cost of small or efficient homes</t>
  </si>
  <si>
    <t>Utilities, special districts</t>
  </si>
  <si>
    <t>Tap fees not tied to actual water demand</t>
  </si>
  <si>
    <t>Overcharges low-demand housing types</t>
  </si>
  <si>
    <t>Requirement for individual meters per unit</t>
  </si>
  <si>
    <t>Increases installation and tap costs</t>
  </si>
  <si>
    <t>Oversized street cross-sections</t>
  </si>
  <si>
    <t>Increases grading, paving, and land consumption</t>
  </si>
  <si>
    <t>Public works department</t>
  </si>
  <si>
    <t>Excessive parking requirements</t>
  </si>
  <si>
    <t>Consumes land and increases paving and drainage cost</t>
  </si>
  <si>
    <t>Stormwater detention requirements based on worst-case assumptions</t>
  </si>
  <si>
    <t>Oversizes infrastructure and increases site cost</t>
  </si>
  <si>
    <t>Public works, stormwater authority</t>
  </si>
  <si>
    <t>Increases architectural and engineering hours</t>
  </si>
  <si>
    <t>Design review boards, municipalities</t>
  </si>
  <si>
    <t>Forces each project to bear full design cost</t>
  </si>
  <si>
    <t>A5, A10</t>
  </si>
  <si>
    <t>Prescriptive material requirements</t>
  </si>
  <si>
    <t>Block lower-cost materials that meet performance goals</t>
  </si>
  <si>
    <t>Code bodies</t>
  </si>
  <si>
    <t>A6, A10</t>
  </si>
  <si>
    <t>Limited acceptance of alternative construction systems</t>
  </si>
  <si>
    <t>Prevents use of cost-effective assemblies</t>
  </si>
  <si>
    <t>Fragmented construction sequencing</t>
  </si>
  <si>
    <t>Increases labor hours and rework</t>
  </si>
  <si>
    <t>Restrictions on modular or off-site construction</t>
  </si>
  <si>
    <t>Limits productivity gains and labor efficiency</t>
  </si>
  <si>
    <t>Code bodies, municipalities</t>
  </si>
  <si>
    <t>A7</t>
  </si>
  <si>
    <t>Increases interest, fees, and required contingencies</t>
  </si>
  <si>
    <t>Municipalities</t>
  </si>
  <si>
    <t>Uncertainty in code interpretation</t>
  </si>
  <si>
    <t>Increases lender risk perception and pricing</t>
  </si>
  <si>
    <t>Code authorities</t>
  </si>
  <si>
    <t>Conservative underwriting assumptions not reflecting performance</t>
  </si>
  <si>
    <t>Increases required returns and reduces feasible project size</t>
  </si>
  <si>
    <t>High perceived regulatory and market risk</t>
  </si>
  <si>
    <t>Drives higher profit requirements</t>
  </si>
  <si>
    <t>Elected officials, regulators</t>
  </si>
  <si>
    <t>Low efficiency building envelope or systems</t>
  </si>
  <si>
    <t>Increases ongoing energy and water consumption</t>
  </si>
  <si>
    <t>Builders, designers</t>
  </si>
  <si>
    <t>Utility rate structures not aligned with efficiency</t>
  </si>
  <si>
    <t>Low-durability materials</t>
  </si>
  <si>
    <t>Builders, owners</t>
  </si>
  <si>
    <t>High perceived wildfire or hazard risk</t>
  </si>
  <si>
    <t>Increases premiums or limits availability</t>
  </si>
  <si>
    <t>Insurers, regulators</t>
  </si>
  <si>
    <t>Assessment practices not reflecting unit size or affordability</t>
  </si>
  <si>
    <t>Increases taxes on small or entry-level homes</t>
  </si>
  <si>
    <t>County assessor</t>
  </si>
  <si>
    <t>Primary value driver(s)</t>
  </si>
  <si>
    <t>Time, interest, uncertainty</t>
  </si>
  <si>
    <t>Sensitive to months saved; assumes reduction of 6–18 months</t>
  </si>
  <si>
    <t>Fee restructuring</t>
  </si>
  <si>
    <t>High end assumes district-style flat fees replaced with demand-based fees</t>
  </si>
  <si>
    <t>Lower admin/permit costs</t>
  </si>
  <si>
    <t>Depends on permit fee formula changes</t>
  </si>
  <si>
    <t>Infrastructure downsizing</t>
  </si>
  <si>
    <t>Includes reduced paving, drainage, grading</t>
  </si>
  <si>
    <t>Reduced site work</t>
  </si>
  <si>
    <t>Example of granular opportunity; small but additive</t>
  </si>
  <si>
    <t>Reduced square footage</t>
  </si>
  <si>
    <t>Large range depending on size delta (e.g. 1200→900 sf)</t>
  </si>
  <si>
    <t>Labor efficiency, material waste</t>
  </si>
  <si>
    <t>Sensitive to architectural constraints</t>
  </si>
  <si>
    <t>Labor productivity, schedule compression</t>
  </si>
  <si>
    <t>Reduced interest, contingencies</t>
  </si>
  <si>
    <t>Cross-cutting; cap at financing &amp; carry cost</t>
  </si>
  <si>
    <t>Lower required return / contingency</t>
  </si>
  <si>
    <t>Dependent on lender behavior change</t>
  </si>
  <si>
    <t>Lower operating cost</t>
  </si>
  <si>
    <t>Reduced repairs &amp; replacements</t>
  </si>
  <si>
    <t>Risk reduction, insurability</t>
  </si>
  <si>
    <t>Authority</t>
  </si>
  <si>
    <t>Minimum tree count per lot or frontage</t>
  </si>
  <si>
    <t>Increases planting, irrigation, and site labor cost</t>
  </si>
  <si>
    <t>Tree caliper (size-at-planting) requirements</t>
  </si>
  <si>
    <t>Forces purchase and installation of large, high-cost trees</t>
  </si>
  <si>
    <t>City forestry department, planning department</t>
  </si>
  <si>
    <t>Landscaping standards not scaled by unit size or affordability</t>
  </si>
  <si>
    <t>Small homes incur same site costs as large homes</t>
  </si>
  <si>
    <t>Municipal planning department</t>
  </si>
  <si>
    <t>Mandatory irrigation systems regardless of plant selection</t>
  </si>
  <si>
    <t>Adds upfront infrastructure and ongoing utility cost</t>
  </si>
  <si>
    <t>Utilities, planning department</t>
  </si>
  <si>
    <t>Minimum dwelling unit size in zoning or code</t>
  </si>
  <si>
    <t>Prohibits smaller, lower-cost homes</t>
  </si>
  <si>
    <t>Minimum room size requirements (bedrooms, living areas)</t>
  </si>
  <si>
    <t>Forces larger overall footprints</t>
  </si>
  <si>
    <t>Parking requirements indirectly enforce larger units</t>
  </si>
  <si>
    <t>Garages and circulation space inflate home size</t>
  </si>
  <si>
    <t>A4, A5</t>
  </si>
  <si>
    <t>Appraisal and market norms penalize small units</t>
  </si>
  <si>
    <t>Reduces financing feasibility for smaller homes</t>
  </si>
  <si>
    <t>Lenders, appraisers</t>
  </si>
  <si>
    <t>Design review standards emphasizing articulation and variation</t>
  </si>
  <si>
    <t>Increases labor, material waste, and detailing cost</t>
  </si>
  <si>
    <t>Design review boards</t>
  </si>
  <si>
    <t>Aesthetic requirements not tied to performance outcomes</t>
  </si>
  <si>
    <t>Forces cost without measurable benefit</t>
  </si>
  <si>
    <t>Inconsistent interpretation of acceptable simplicity</t>
  </si>
  <si>
    <t>Encourages over-design to avoid rejection</t>
  </si>
  <si>
    <t>Planning staff, review boards</t>
  </si>
  <si>
    <t>Lack of pre-approved simple building archetypes</t>
  </si>
  <si>
    <t>Each project reinvents geometry at higher cost</t>
  </si>
  <si>
    <t>Prescriptive energy code pathways dominate over performance options</t>
  </si>
  <si>
    <t>Blocks lowest-cost efficiency strategies</t>
  </si>
  <si>
    <t>Reduces financial payoff of efficient buildings</t>
  </si>
  <si>
    <t>Utilities, utility commissions</t>
  </si>
  <si>
    <t>Limited access to cost-effective testing and verification</t>
  </si>
  <si>
    <t>Raises soft costs for high-performance buildings</t>
  </si>
  <si>
    <t>Building departments, third-party verifiers</t>
  </si>
  <si>
    <t>Builder unfamiliarity with integrated efficiency strategies</t>
  </si>
  <si>
    <t>Misses low-cost efficiency opportunities</t>
  </si>
  <si>
    <t>Lowest-first-cost material selection norms</t>
  </si>
  <si>
    <t>Codes focus on minimum compliance, not service life</t>
  </si>
  <si>
    <t>No incentive for longer-lasting assemblies</t>
  </si>
  <si>
    <t>Maintenance access not reviewed during design</t>
  </si>
  <si>
    <t>Increases labor cost for routine maintenance</t>
  </si>
  <si>
    <t>Designers, design review boards</t>
  </si>
  <si>
    <t>A5, A8</t>
  </si>
  <si>
    <t>Insurance underwriting does not recognize building-level mitigation</t>
  </si>
  <si>
    <t>Premiums reflect area-wide risk rather than actual risk</t>
  </si>
  <si>
    <t>Codes do not mandate or certify insurability features</t>
  </si>
  <si>
    <t>No standardized signal of lower risk to insurers</t>
  </si>
  <si>
    <t>Code bodies, regulators</t>
  </si>
  <si>
    <t>Limited data sharing between builders and insurers</t>
  </si>
  <si>
    <t>Conservative pricing due to uncertainty</t>
  </si>
  <si>
    <t>Insurers, builders</t>
  </si>
  <si>
    <t>Lack of community-scale mitigation coordination</t>
  </si>
  <si>
    <t>Individual homes bear full risk premium</t>
  </si>
  <si>
    <t>Municipalities, insurers</t>
  </si>
  <si>
    <t>A9, A10</t>
  </si>
  <si>
    <t>Land cost sharing, yield, infrastructure efficiency</t>
  </si>
  <si>
    <t>B05-SiteInfra</t>
  </si>
  <si>
    <t>B06-SoftCosts</t>
  </si>
  <si>
    <t>Cost Element ID</t>
  </si>
  <si>
    <t>CRO ID</t>
  </si>
  <si>
    <t>Avoided external road, utility, and drainage upgrades</t>
  </si>
  <si>
    <t>Cost sharing, district systems, reduced duplication</t>
  </si>
  <si>
    <t>Reduced bespoke design and coordination</t>
  </si>
  <si>
    <t>Assumes partial reuse of plans/details; not full repetition</t>
  </si>
  <si>
    <t>Fewer redesign cycles and consultant hours</t>
  </si>
  <si>
    <t>Distinct from land carry; this is direct consultant cost reduction</t>
  </si>
  <si>
    <t>Shared upfront design cost, reduced per-project soft cost</t>
  </si>
  <si>
    <t>Requires municipal adoption; high leverage where allowed</t>
  </si>
  <si>
    <t>Highly jurisdiction- and project-dependent; cap at off-site cost share</t>
  </si>
  <si>
    <t>Includes shared stormwater, access, and utility systems</t>
  </si>
  <si>
    <t>Lower assessed value, abatements, restructured special districts</t>
  </si>
  <si>
    <t>Assumes assessment methods or abatements that scale with unit size or price; varies widely by jurisdiction</t>
  </si>
  <si>
    <t>Lower perceived risk, insurance premiums, and underwriting friction</t>
  </si>
  <si>
    <t>CE(s) also affected</t>
  </si>
  <si>
    <t>CRO-DENSITY</t>
  </si>
  <si>
    <t>CRO-DURATION</t>
  </si>
  <si>
    <t>CRO-PERMIT_FEES</t>
  </si>
  <si>
    <t>CRO-UTILITY_FEES</t>
  </si>
  <si>
    <t>CRO-LANDSCAPE</t>
  </si>
  <si>
    <t>CRO-SHARED_INFRA</t>
  </si>
  <si>
    <t>CRO-STANDARDS</t>
  </si>
  <si>
    <t>CRO-PREAPPROVAL</t>
  </si>
  <si>
    <t>CRO-STANDARDIZE</t>
  </si>
  <si>
    <t>CRO-METHODS</t>
  </si>
  <si>
    <t>CRO-SIMPLIFY</t>
  </si>
  <si>
    <t>CRO-SIZE</t>
  </si>
  <si>
    <t>CRO-UNDERWRITE</t>
  </si>
  <si>
    <t>CRO-TAXES</t>
  </si>
  <si>
    <t>CRO-MITIGATION</t>
  </si>
  <si>
    <t>CRO-DURABILITY</t>
  </si>
  <si>
    <t>CRO-EFFICIENCY</t>
  </si>
  <si>
    <t>Sequential (non-parallel) agency reviews</t>
  </si>
  <si>
    <t>Each review waits for prior approval, compounding total entitlement time</t>
  </si>
  <si>
    <t>Planning department, utilities, public works</t>
  </si>
  <si>
    <t>Permit fee schedules not scaled by unit size or affordability</t>
  </si>
  <si>
    <t>Small units pay same fees as large units, inflating per-unit cost</t>
  </si>
  <si>
    <t>Lack of proportionality rules for off-site improvements</t>
  </si>
  <si>
    <t>Projects fund system-wide upgrades unrelated to marginal impact</t>
  </si>
  <si>
    <t>Municipality, utilities</t>
  </si>
  <si>
    <t>Utility rules prohibit shared or district systems</t>
  </si>
  <si>
    <t>Duplication of infrastructure increases per-unit cost</t>
  </si>
  <si>
    <t>Unclear long-term ownership and maintenance responsibility</t>
  </si>
  <si>
    <t>Financing and approval risk blocks shared systems</t>
  </si>
  <si>
    <t>Municipality, lenders</t>
  </si>
  <si>
    <t>A4, A9</t>
  </si>
  <si>
    <t>Municipal liability concerns for pre-approved plans</t>
  </si>
  <si>
    <t>Jurisdictions avoid pre-approval due to perceived legal exposure</t>
  </si>
  <si>
    <t>Lack of staff time or funding to create pre-approved sets</t>
  </si>
  <si>
    <t>High upfront effort blocks long-term soft-cost savings</t>
  </si>
  <si>
    <t>Appeals or late-stage comments reopen settled design issues</t>
  </si>
  <si>
    <t>Redesign cycles increase consultant hours and delay</t>
  </si>
  <si>
    <t>Planning commission</t>
  </si>
  <si>
    <t>Market and buyer expectations favor uniqueness</t>
  </si>
  <si>
    <t>Bespoke designs persist despite cost penalties</t>
  </si>
  <si>
    <t>Builders, developers</t>
  </si>
  <si>
    <t>Inspection protocols not adapted to off-site construction</t>
  </si>
  <si>
    <t>Inspection delays and uncertainty reduce productivity gains</t>
  </si>
  <si>
    <t>Insurance and warranty reluctance for nontraditional systems</t>
  </si>
  <si>
    <t>Higher premiums or exclusions offset construction savings</t>
  </si>
  <si>
    <t>Insurers, warranty providers</t>
  </si>
  <si>
    <t>Fire or zoning rules indirectly force articulation and offsets</t>
  </si>
  <si>
    <t>Simple forms require added complexity to comply</t>
  </si>
  <si>
    <t>Fire marshal, zoning authority</t>
  </si>
  <si>
    <t>Inspection scheduling delays during construction</t>
  </si>
  <si>
    <t>Extends construction duration and increases interest carry</t>
  </si>
  <si>
    <t>Appraisal lag for new housing types or formats</t>
  </si>
  <si>
    <t>Conservative comps inflate required returns</t>
  </si>
  <si>
    <t>Special district financing structures fixed per unit</t>
  </si>
  <si>
    <t>Flat assessments negate affordability benefits</t>
  </si>
  <si>
    <t>Municipality, special districts</t>
  </si>
  <si>
    <t>Cost Element(s) affected most</t>
  </si>
  <si>
    <t>MIN_LOT_SIZE</t>
  </si>
  <si>
    <t>USE_PROHIBITION</t>
  </si>
  <si>
    <t>HOA_PROHIBITION</t>
  </si>
  <si>
    <t>UTILITY_SETBACKS</t>
  </si>
  <si>
    <t>PUBLIC_OPPOSITION</t>
  </si>
  <si>
    <t>DISCRETIONARY_REVIEW</t>
  </si>
  <si>
    <t>SHIFTING_REQUIREMENTS</t>
  </si>
  <si>
    <t>STAFFING_LIMITS</t>
  </si>
  <si>
    <t>VALUATION_BASED_FEES</t>
  </si>
  <si>
    <t>MULTIPLE_PLAN_CHECKS</t>
  </si>
  <si>
    <t>FLAT_TAP_FEES</t>
  </si>
  <si>
    <t>DEMAND_MISMATCH</t>
  </si>
  <si>
    <t>INDIVIDUAL_METERS</t>
  </si>
  <si>
    <t>MIN_TREE_COUNT</t>
  </si>
  <si>
    <t>TREE_CALIPER</t>
  </si>
  <si>
    <t>UNSCALED_LANDSCAPING</t>
  </si>
  <si>
    <t>MANDATORY_IRRIGATION</t>
  </si>
  <si>
    <t>OVERSIZED_STREETS</t>
  </si>
  <si>
    <t>EXCESS_PARKING</t>
  </si>
  <si>
    <t>CONSERVATIVE_STORMWATER</t>
  </si>
  <si>
    <t>CUSTOM_DESIGN</t>
  </si>
  <si>
    <t>NO_STANDARD_PLANS</t>
  </si>
  <si>
    <t>PRESCRIPTIVE_MATERIALS</t>
  </si>
  <si>
    <t>ALT_SYSTEMS_LIMITED</t>
  </si>
  <si>
    <t>ARTICULATION_MANDATES</t>
  </si>
  <si>
    <t>AESTHETIC_ONLY_RULES</t>
  </si>
  <si>
    <t>INCONSISTENT_REVIEW</t>
  </si>
  <si>
    <t>NO_SIMPLE_ARCHETYPES</t>
  </si>
  <si>
    <t>MIN_UNIT_SIZE</t>
  </si>
  <si>
    <t>MIN_ROOM_SIZE</t>
  </si>
  <si>
    <t>PARKING_INDUCED_SIZE</t>
  </si>
  <si>
    <t>APPRAISAL_BIAS</t>
  </si>
  <si>
    <t>FRAGMENTED_SEQUENCING</t>
  </si>
  <si>
    <t>MODULAR_RESTRICTIONS</t>
  </si>
  <si>
    <t>LONG_TIMELINES</t>
  </si>
  <si>
    <t>CODE_UNCERTAINTY</t>
  </si>
  <si>
    <t>CONSERVATIVE_UNDERWRITE</t>
  </si>
  <si>
    <t>REGULATORY_RISK</t>
  </si>
  <si>
    <t>PRESCRIPTIVE_CODES</t>
  </si>
  <si>
    <t>RATE_MISALIGNMENT</t>
  </si>
  <si>
    <t>VERIFICATION_COST</t>
  </si>
  <si>
    <t>PRACTICE_GAPS</t>
  </si>
  <si>
    <t>LOW_EFFICIENCY</t>
  </si>
  <si>
    <t>FIRST_COST_BIAS</t>
  </si>
  <si>
    <t>MIN_CODE_ONLY</t>
  </si>
  <si>
    <t>NO_MAINT_ACCESS_REVIEW</t>
  </si>
  <si>
    <t>LOW_DURABILITY_MATERIALS</t>
  </si>
  <si>
    <t>SEQUENTIAL_REVIEWS</t>
  </si>
  <si>
    <t>UNSCALED_FEES</t>
  </si>
  <si>
    <t>NO_PROPORTIONALITY</t>
  </si>
  <si>
    <t>NO_SHARED_SYSTEMS</t>
  </si>
  <si>
    <t>OWNERSHIP_UNCLEAR</t>
  </si>
  <si>
    <t>LIABILITY_CONCERNS</t>
  </si>
  <si>
    <t>STAFF_CAPACITY</t>
  </si>
  <si>
    <t>LATE_STAGE_REOPEN</t>
  </si>
  <si>
    <t>MARKET_UNIQUENESS</t>
  </si>
  <si>
    <t>INSPECTION_MISMATCH</t>
  </si>
  <si>
    <t>INSURANCE_RELUCTANCE</t>
  </si>
  <si>
    <t>FIRE_ZONING_COMPLEXITY</t>
  </si>
  <si>
    <t>INSPECTION_DELAYS</t>
  </si>
  <si>
    <t>APPRAISAL_LAG</t>
  </si>
  <si>
    <t>SPECIAL_DISTRICT_FLAT</t>
  </si>
  <si>
    <t>NO_INSURABILITY_SIGNAL</t>
  </si>
  <si>
    <t>DATA_GAPS</t>
  </si>
  <si>
    <t>NO_COMMUNITY_MITIGATION</t>
  </si>
  <si>
    <t>HIGH_HAZARD_PERCEPTION</t>
  </si>
  <si>
    <t>NO_SCALING</t>
  </si>
  <si>
    <t>Barrier Type</t>
  </si>
  <si>
    <t>Barrier Scope</t>
  </si>
  <si>
    <t>Barrier Short Name</t>
  </si>
  <si>
    <t>RULE</t>
  </si>
  <si>
    <t>PRIVATE</t>
  </si>
  <si>
    <t>LOCAL</t>
  </si>
  <si>
    <t>POLITICAL</t>
  </si>
  <si>
    <t>PRACTICE</t>
  </si>
  <si>
    <t>MARKET</t>
  </si>
  <si>
    <t>STATE</t>
  </si>
  <si>
    <t>CAPACITY</t>
  </si>
  <si>
    <t>UTILITY</t>
  </si>
  <si>
    <t>NO_MITIGATION_RECOGNITION</t>
  </si>
  <si>
    <t>Mitigation measures not standardized or verified</t>
  </si>
  <si>
    <t>NO_MITIGATION_STANDARD</t>
  </si>
  <si>
    <t>Lenders and insurers cannot reliably price reduced risk</t>
  </si>
  <si>
    <t>Code bodies, insurers</t>
  </si>
  <si>
    <t>Lack of community-scale hazard mitigation coordination</t>
  </si>
  <si>
    <t>NO_COMMUNITY_MITIGATION_PLAN</t>
  </si>
  <si>
    <t>Individual projects bear full hazard risk</t>
  </si>
  <si>
    <t>Builders lack clear mitigation design guidance</t>
  </si>
  <si>
    <t>DESIGN_GUIDANCE_GAPS</t>
  </si>
  <si>
    <t>Mitigation not consistently implemented or credited</t>
  </si>
  <si>
    <t>RISK</t>
  </si>
  <si>
    <t>Long entitlement timelines</t>
  </si>
  <si>
    <t>Highly customized design requirements for aesthetics</t>
  </si>
  <si>
    <t>Lack of pre-approved or standard plan options from AHJ</t>
  </si>
  <si>
    <t>CRO-INFRA_BURDEN</t>
  </si>
  <si>
    <t>B01-Land</t>
  </si>
  <si>
    <t>Land acquisition &amp; assemblage</t>
  </si>
  <si>
    <t>Purchase price, parcel assemblage, market value driven by zoning, density, allowed use</t>
  </si>
  <si>
    <t>B02-PreDev</t>
  </si>
  <si>
    <t>Pre-development &amp; entitlement</t>
  </si>
  <si>
    <t>B03-LandCarry</t>
  </si>
  <si>
    <t>Land holding, time, and uncertainty costs</t>
  </si>
  <si>
    <t>Physical site &amp; infrastructure construction</t>
  </si>
  <si>
    <t>Grading, roads, sidewalks, parking, utility trenching, line extensions, stormwater detention</t>
  </si>
  <si>
    <t>Professional &amp; administrative soft costs</t>
  </si>
  <si>
    <t>B07-HardMatl</t>
  </si>
  <si>
    <t>Hard construction – materials</t>
  </si>
  <si>
    <t>B08-HardLabor</t>
  </si>
  <si>
    <t>Hard construction – labor</t>
  </si>
  <si>
    <t>B09-TempIndirect</t>
  </si>
  <si>
    <t>Temporary, indirect, and jobsite costs</t>
  </si>
  <si>
    <t>Temporary utilities, dumpsters, toilets, cranes, material handling, weather protection, security</t>
  </si>
  <si>
    <t>B10-RiskIns</t>
  </si>
  <si>
    <t>B11-Finance</t>
  </si>
  <si>
    <t>Development financing &amp; capital costs</t>
  </si>
  <si>
    <t>B12-OverheadReturn</t>
  </si>
  <si>
    <t>O01-Utilities</t>
  </si>
  <si>
    <t>Operating utilities</t>
  </si>
  <si>
    <t>Energy, water, wastewater, stormwater charges</t>
  </si>
  <si>
    <t>O02-Maint</t>
  </si>
  <si>
    <t>Maintenance, repairs, and capital reserves</t>
  </si>
  <si>
    <t>O03-Insurance</t>
  </si>
  <si>
    <t>Operating property insurance</t>
  </si>
  <si>
    <t>Long-term property and hazard insurance, insurability over time</t>
  </si>
  <si>
    <t>O04-Taxes</t>
  </si>
  <si>
    <t>Property taxes &amp; special assessments</t>
  </si>
  <si>
    <t>Property taxes, metro/special district assessments</t>
  </si>
  <si>
    <t>B07-HardMatl, B08-HardLabor</t>
  </si>
  <si>
    <t>B06-SoftCosts; B11-Finance</t>
  </si>
  <si>
    <t>Often 3-8% of hard costs; varies by site conditions</t>
  </si>
  <si>
    <t>N</t>
  </si>
  <si>
    <t>Y</t>
  </si>
  <si>
    <t>B04a-PermitsAdmin</t>
  </si>
  <si>
    <t>Permits &amp; administrative fees</t>
  </si>
  <si>
    <t>Building permits, plan check, development review, valuation-based fees, local admin fees</t>
  </si>
  <si>
    <t>B04b-UtilityFees</t>
  </si>
  <si>
    <t>Utility connection &amp; capacity fees</t>
  </si>
  <si>
    <t>Water/wastewater/storm taps, raw water charges, capacity/system development charges, PIFs</t>
  </si>
  <si>
    <t>City utilities (low–mid); higher assumes district-style or raw water fees</t>
  </si>
  <si>
    <t>High-performance baseline; excludes temporary/indirect</t>
  </si>
  <si>
    <t>Productivity-sensitive; assumes typical market conditions</t>
  </si>
  <si>
    <t>Third-party insurance products only; internal reserves in B12</t>
  </si>
  <si>
    <t>Subtotal before financing, risk reserves, and return</t>
  </si>
  <si>
    <t>High-performance small house helps keep low/mid down</t>
  </si>
  <si>
    <t>Routine maintenance + reserves averaged monthly</t>
  </si>
  <si>
    <t>Reflects regional hazard exposure</t>
  </si>
  <si>
    <t>Depends on assessed value and mill levies</t>
  </si>
  <si>
    <t>Primary stage</t>
  </si>
  <si>
    <t>Primary dependency</t>
  </si>
  <si>
    <t>Savings cadence</t>
  </si>
  <si>
    <t>B04b-UtilityFees; B05-SiteInfra</t>
  </si>
  <si>
    <t>Policy</t>
  </si>
  <si>
    <t>Both</t>
  </si>
  <si>
    <t>CRO-DESIGN_PREDICTABILITY</t>
  </si>
  <si>
    <t>Market</t>
  </si>
  <si>
    <t>CRO-FIN_PREDICTABILITY</t>
  </si>
  <si>
    <t>Lifecycle</t>
  </si>
  <si>
    <t>Regulatory reform</t>
  </si>
  <si>
    <t>LOW_DENSITY_RULES</t>
  </si>
  <si>
    <t>Medium</t>
  </si>
  <si>
    <t>Long</t>
  </si>
  <si>
    <t>Market practice</t>
  </si>
  <si>
    <t>SHORT_TERM_BIAS</t>
  </si>
  <si>
    <t>MIN_CODE_COMPLIANCE</t>
  </si>
  <si>
    <t>Administrative reform</t>
  </si>
  <si>
    <t>REVIEW_GAPS</t>
  </si>
  <si>
    <t>Near</t>
  </si>
  <si>
    <t>TIMELINE_DELAYS</t>
  </si>
  <si>
    <t>CAPACITY_LIMITS</t>
  </si>
  <si>
    <t>LOW_PERFORMANCE</t>
  </si>
  <si>
    <t>PRESCRIPTIVE_REQS</t>
  </si>
  <si>
    <t>RATE_STRUCTURE</t>
  </si>
  <si>
    <t>INFO_ASYMMETRY</t>
  </si>
  <si>
    <t>RISK_PERCEPTION</t>
  </si>
  <si>
    <t>COORDINATION_GAP</t>
  </si>
  <si>
    <t>NO_STANDARD_SIGNAL</t>
  </si>
  <si>
    <t>UNSCALED_REQS</t>
  </si>
  <si>
    <t>FRAGMENTATION</t>
  </si>
  <si>
    <t>INSPECTION_GAP</t>
  </si>
  <si>
    <t>GUIDANCE_GAP</t>
  </si>
  <si>
    <t>LIABILITY_CONCERN</t>
  </si>
  <si>
    <t>DISCRETIONARY_PROCESS</t>
  </si>
  <si>
    <t>SHARED_SYSTEM_BARRIERS</t>
  </si>
  <si>
    <t>AESTHETIC_MANDATES</t>
  </si>
  <si>
    <t>SMALL_UNIT_BIAS</t>
  </si>
  <si>
    <t>MIN_SIZE_REQS</t>
  </si>
  <si>
    <t>MARKET_PREFERENCE</t>
  </si>
  <si>
    <t>OVERSIZED_STANDARDS</t>
  </si>
  <si>
    <t>Cost Element Description</t>
  </si>
  <si>
    <t>Primary Actor(s)</t>
  </si>
  <si>
    <t>Secondary Actor(s)</t>
  </si>
  <si>
    <t>Primary Policy Lever</t>
  </si>
  <si>
    <t>Notes on Actor Influence</t>
  </si>
  <si>
    <t>Market sets price; city controls supply via zoning and entitlement</t>
  </si>
  <si>
    <t>City controls process complexity; builder controls application quality</t>
  </si>
  <si>
    <t>Driven by entitlement duration (city) and interest rates (lender/market)</t>
  </si>
  <si>
    <t>Directly controlled by municipal fee schedules</t>
  </si>
  <si>
    <t>Utility</t>
  </si>
  <si>
    <t>Utility districts set fees; city may influence via franchise agreements</t>
  </si>
  <si>
    <t>Physical site &amp; infrastructure</t>
  </si>
  <si>
    <t>City sets standards; builder executes. Off-site requirements often city-driven</t>
  </si>
  <si>
    <t>Builder hires consultants; city process complexity drives scope</t>
  </si>
  <si>
    <t>Market sets prices; codes constrain choices; builder selects within constraints</t>
  </si>
  <si>
    <t>Labor market sets wages; builder controls productivity and methods</t>
  </si>
  <si>
    <t>Builder controls jobsite; timeline delays (city) increase costs</t>
  </si>
  <si>
    <t>Insurer</t>
  </si>
  <si>
    <t>Insurers price risk; codes and builder practices affect risk profile</t>
  </si>
  <si>
    <t>Lenders set terms; timeline (city) and rates (market) drive costs</t>
  </si>
  <si>
    <t>Builder sets margin; risk/uncertainty (city/market) drives required return</t>
  </si>
  <si>
    <t>Utility sets rates; building efficiency (builder) affects consumption</t>
  </si>
  <si>
    <t>Owner responsible; building quality (builder) affects long-term costs</t>
  </si>
  <si>
    <t>Insurers price risk; state regulates market; builder affects risk via construction</t>
  </si>
  <si>
    <t>State</t>
  </si>
  <si>
    <t>Local assessor and taxing districts; state sets framework</t>
  </si>
  <si>
    <t>AS*</t>
  </si>
  <si>
    <t>Grand total</t>
  </si>
  <si>
    <t>Zoning changes, PUDs, variances, traffic/drainage/environmental studies, community engagement, market studies</t>
  </si>
  <si>
    <t>Construction insurance &amp; bonding (3rd-party)</t>
  </si>
  <si>
    <t>Assumes meaningful density increase (e.g. 6→12 or 8→16 units/acre); highly site- and market-dependent. Assumes permits/admin are per-unit and not spreadable.</t>
  </si>
  <si>
    <t>CRO-INSURANCE_CREDITS</t>
  </si>
  <si>
    <t>Assumes mitigation already done; this CRO is about insurer recognition/credits and premium pricing. Highly market- and hazard-dependent.</t>
  </si>
  <si>
    <t>REGIONAL</t>
  </si>
  <si>
    <t>Financing / underwriting</t>
  </si>
  <si>
    <t>Technical standard / code</t>
  </si>
  <si>
    <t>Market - land</t>
  </si>
  <si>
    <t>Local government</t>
  </si>
  <si>
    <t>Streamline entitlement process; enable by-right approvals; reduce hearing requirements</t>
  </si>
  <si>
    <t>Reduce approval timelines; increase process certainty; enable parallel reviews</t>
  </si>
  <si>
    <t>Cap valuation-based fees; scale fees by unit size; reduce plan check cycles</t>
  </si>
  <si>
    <t>Right-size street standards; reduce parking minimums; enable shared infrastructure</t>
  </si>
  <si>
    <t>Enable pre-approved plans; reduce design iterations; streamline permit review</t>
  </si>
  <si>
    <t>Market - inputs</t>
  </si>
  <si>
    <t>Expand code-approved materials; enable performance-based compliance; reduce prescriptive requirements</t>
  </si>
  <si>
    <t>Expand workforce pipeline; improve inspection scheduling; enable off-site prefabrication</t>
  </si>
  <si>
    <t>Standardize mitigation verification; clarify code requirements; enable risk-based pricing</t>
  </si>
  <si>
    <t>Local government, Market - macro</t>
  </si>
  <si>
    <t>Reform underwriting for new housing types; reduce timeline risk; enable construction-to-perm loans</t>
  </si>
  <si>
    <t>Strengthen durability standards; improve warranty coverage; enable reserve planning</t>
  </si>
  <si>
    <t>Standardize mitigation credits; require insurability features; enable community-scale risk pools</t>
  </si>
  <si>
    <t>Scale assessments by unit size; enable abatements; reform special district financing</t>
  </si>
  <si>
    <t>Market - macro</t>
  </si>
  <si>
    <t>Computed = Sum(B01–B10).</t>
  </si>
  <si>
    <t>Baseline scenario: $1.5M land / 30 homes (no escalation).</t>
  </si>
  <si>
    <t>B11-Finance; O02-Maint</t>
  </si>
  <si>
    <t>Unit</t>
  </si>
  <si>
    <t>$/home</t>
  </si>
  <si>
    <t>$/home-month</t>
  </si>
  <si>
    <t>Annual</t>
  </si>
  <si>
    <t>Requires upfront investment? (Y/N)</t>
  </si>
  <si>
    <t>Primary CE(s) with upfront premium</t>
  </si>
  <si>
    <t>B07-HardMatl; B08-HardLabor; B06-SoftCosts</t>
  </si>
  <si>
    <t>Discourages adoption of higher-upfront-cost assemblies, even when lifecycle cost is lower. Increases long-term repair and replacement costs.</t>
  </si>
  <si>
    <t>Blocks adoption of durable assemblies; increases repair and replacement frequency over lifecycle.</t>
  </si>
  <si>
    <t>Permit-ready design and construction admin: architecture/engineering, surveys/geotech (if not in B02), legal/accounting tied to project delivery, energy modeling, code compliance. Some choices increase first cost but reduce operating costs (see CRO-EFFICIENCY, CRO-DURABILITY).</t>
  </si>
  <si>
    <t>Structure, envelope, MEP equipment, finishes, fire/life safety systems. Some choices increase first cost but reduce operating costs (see CRO-EFFICIENCY, CRO-DURABILITY).</t>
  </si>
  <si>
    <t>Field labor, subcontractor installation, supervision embedded in trade work. Some choices increase first cost but reduce operating costs (see CRO-EFFICIENCY, CRO-DURABILITY).</t>
  </si>
  <si>
    <t>Highly variable; depends on entitlement complexity and timeline. Excludes permit-set design and construction admin (B06).</t>
  </si>
  <si>
    <t>Varies with design iteration and permitting complexity. Excludes entitlement studies and public process work (B02).</t>
  </si>
  <si>
    <t>Construction and pre-construction financing costs borne by the project (loan fees, interest, lender reserves).</t>
  </si>
  <si>
    <t>Driven by interest rates, loan terms, and time to entitlements and completion. Excludes buyer mortgage terms (see Financing Conditions table).</t>
  </si>
  <si>
    <t>SYS-BuildSubtotal</t>
  </si>
  <si>
    <t>Computed</t>
  </si>
  <si>
    <t>ID</t>
  </si>
  <si>
    <t>Description</t>
  </si>
  <si>
    <t>Notes</t>
  </si>
  <si>
    <t>F00-Price</t>
  </si>
  <si>
    <t>Home purchase price used for payment modeling</t>
  </si>
  <si>
    <t>References SYS-BuildTotal; can be overridden for market price scenarios</t>
  </si>
  <si>
    <t>F01-Rate</t>
  </si>
  <si>
    <t>Mortgage interest rate (APR)</t>
  </si>
  <si>
    <t>%</t>
  </si>
  <si>
    <t>30-year fixed rate assumption</t>
  </si>
  <si>
    <t>F02-DownPmt</t>
  </si>
  <si>
    <t>Down payment (%)</t>
  </si>
  <si>
    <t>Range from FHA minimum to conventional 20%</t>
  </si>
  <si>
    <t>F03-Term</t>
  </si>
  <si>
    <t>Loan term (years)</t>
  </si>
  <si>
    <t>years</t>
  </si>
  <si>
    <t>Standard 30-year term</t>
  </si>
  <si>
    <t>F04-PMI</t>
  </si>
  <si>
    <t>PMI (monthly)</t>
  </si>
  <si>
    <t>$/month</t>
  </si>
  <si>
    <t>~0.5% annual PMI if down payment &lt;20%; drops off at 20%+ equity</t>
  </si>
  <si>
    <t>F99-MortgagePI</t>
  </si>
  <si>
    <t>Monthly mortgage payment (principal &amp; interest)</t>
  </si>
  <si>
    <t>Standard amortization formula</t>
  </si>
  <si>
    <t>F98-AllInMonthly</t>
  </si>
  <si>
    <t>All-in monthly cost (Operating + Mortgage + PMI)</t>
  </si>
  <si>
    <t>$/home-year</t>
  </si>
  <si>
    <t>$/home (multi-year)</t>
  </si>
  <si>
    <t>Risk reduction from standardized and verifiable mitigation measures. Assumes measures are implemented and can be verified; savings may appear in insurance pricing and underwriting over time.</t>
  </si>
  <si>
    <t>Operating savings assume adoption of higher-performance envelope and systems that increase upfront cost in B07/B08/B06. Savings are monthly.</t>
  </si>
  <si>
    <t>Maintenance savings assume selection of higher-durability materials and detailing that increase upfront cost in B07/B08/B06. Savings are monthly averages.</t>
  </si>
  <si>
    <t>Requires acceptance by code officials and lenders. Assumes no net additional upfront cost after learning curve.</t>
  </si>
  <si>
    <t>MARKET-WIDE</t>
  </si>
  <si>
    <t>Developer / builder</t>
  </si>
  <si>
    <t>Lender / investor</t>
  </si>
  <si>
    <t>Owner / HOA</t>
  </si>
  <si>
    <t>Developer / builder, State</t>
  </si>
  <si>
    <t>Owner / HOA, Developer / builder</t>
  </si>
  <si>
    <t>State, Developer / builder</t>
  </si>
  <si>
    <t>Allow higher yield by-right (density, lot size)</t>
  </si>
  <si>
    <t>Demand-based taps; enable shared connections</t>
  </si>
  <si>
    <t>Reduce inspection delays; predictable scheduling</t>
  </si>
  <si>
    <t>Align rates with efficiency; reduce fixed-charge burden</t>
  </si>
  <si>
    <t>Formal requirements in code, ordinance, policy, or contracts</t>
  </si>
  <si>
    <t>Common industry behaviors or norms not legally required</t>
  </si>
  <si>
    <t>Staffing, time, funding, or tooling constraints</t>
  </si>
  <si>
    <t>Political opposition, elected pressure, coalition dynamics</t>
  </si>
  <si>
    <t>Hazard exposure, perceived risk, uncertainty, tail risk</t>
  </si>
  <si>
    <t>Price/availability conditions, incentives, demand/supply dynamics</t>
  </si>
  <si>
    <t>HOA, private covenants, private contracts</t>
  </si>
  <si>
    <t>City/county ordinances, local processes, local departments</t>
  </si>
  <si>
    <t>Utility rules, rate design, tap fees, service requirements</t>
  </si>
  <si>
    <t>Multi-jurisdictional, geography-driven patterns (WUI, hail zones)</t>
  </si>
  <si>
    <t>State statutes, building code adoption at state level</t>
  </si>
  <si>
    <t>FEDERAL</t>
  </si>
  <si>
    <t>Federal programs/regulations (GSEs, FHA, tax policy, etc.)</t>
  </si>
  <si>
    <t>Broad market norms across many regions (appraisal norms, first-cost bias)</t>
  </si>
  <si>
    <t>One-time change in upfront cost per home</t>
  </si>
  <si>
    <t>Recurring monthly change per home</t>
  </si>
  <si>
    <t>Recurring annual change per home</t>
  </si>
  <si>
    <t>Requires government/utility rule changes or formal approvals</t>
  </si>
  <si>
    <t>Primarily driven by private market behavior/choices</t>
  </si>
  <si>
    <t>Requires policy + market adoption/behavior</t>
  </si>
  <si>
    <t>City/county planning, building, public works departments; elected officials</t>
  </si>
  <si>
    <t>Water, sewer, electric, gas utilities and districts</t>
  </si>
  <si>
    <t>Project sponsors, general contractors, homebuilders</t>
  </si>
  <si>
    <t>Construction lenders, permanent lenders, equity investors</t>
  </si>
  <si>
    <t>Property insurers, title insurers, bonding companies</t>
  </si>
  <si>
    <t>Homeowners, homeowner associations, property managers</t>
  </si>
  <si>
    <t>Land scarcity, comparable sales, location premiums</t>
  </si>
  <si>
    <t>Labor availability, material prices, supply chain conditions</t>
  </si>
  <si>
    <t>Interest rates, inflation, broader economic conditions</t>
  </si>
  <si>
    <t>State legislature, state agencies, building code adoption</t>
  </si>
  <si>
    <t>Finance</t>
  </si>
  <si>
    <t>F03-PMI</t>
  </si>
  <si>
    <t>F01-Principal</t>
  </si>
  <si>
    <t>F02-Interest</t>
  </si>
  <si>
    <t>O99-OpTotal</t>
  </si>
  <si>
    <t>B99-BuildTotal</t>
  </si>
  <si>
    <t>F04a-PMIRate</t>
  </si>
  <si>
    <t>PMI annual rate</t>
  </si>
  <si>
    <t>Typical annual PMI rate (0.5%); used to compute monthly PMI</t>
  </si>
  <si>
    <t>Mortgage principal payment (monthly)</t>
  </si>
  <si>
    <t>Principal portion of the monthly mortgage payment. Shown separately from interest to illustrate interest-rate sensitivity; principal builds owner equity.</t>
  </si>
  <si>
    <t>Computed from amortization schedule using F00-Price, F01-Rate, F02-DownPmt, F03-Term. This is the first-month breakdown. Over time, principal rises and interest falls; total P&amp;I stays constant for fixed-rate loans.</t>
  </si>
  <si>
    <t>Mortgage interest payment (monthly)</t>
  </si>
  <si>
    <t>Interest portion of the monthly mortgage payment. Interest is a true financing cost driven by rates and loan terms.</t>
  </si>
  <si>
    <t>Private mortgage insurance (PMI) (monthly)</t>
  </si>
  <si>
    <t>PMI is a financing cost paid by the borrower to protect the lender when down payment is below threshold; it is not property insurance.</t>
  </si>
  <si>
    <t>Applies when down payment &lt; 20%. Computed from F04a-PMIRate and loan amount; set to 0 when down payment &gt;= 20%.</t>
  </si>
  <si>
    <t>F99-FinanceTotal</t>
  </si>
  <si>
    <t>Total financing payment (monthly)</t>
  </si>
  <si>
    <t>Computed = F01-Principal + F02-Interest + F03-PMI.</t>
  </si>
  <si>
    <t>O03-PropInsurance</t>
  </si>
  <si>
    <t>B12-Overhead</t>
  </si>
  <si>
    <t>Developer overhead and marketing</t>
  </si>
  <si>
    <t>Staff, office overhead, marketing/sales, model units. Real costs of running the development business.</t>
  </si>
  <si>
    <t>Typically 3-8% of total development cost.</t>
  </si>
  <si>
    <t>B13-Contingtic</t>
  </si>
  <si>
    <t>Warranty and litigation contingency</t>
  </si>
  <si>
    <t>Warranty reserves and litigation contingency. Builder's retained risk for post-completion claims.</t>
  </si>
  <si>
    <t>Varies by builder risk tolerance and project type.</t>
  </si>
  <si>
    <t>B14-Return</t>
  </si>
  <si>
    <t>Required developer return</t>
  </si>
  <si>
    <t>Developer fee/return. Compensation for capital risk and uncertainty, not excess profit.</t>
  </si>
  <si>
    <t>Typically 8-15% of total development cost; higher for riskier projects.</t>
  </si>
  <si>
    <t>O05-HOA</t>
  </si>
  <si>
    <t>HOA fees and assessments</t>
  </si>
  <si>
    <t>Common area maintenance, shared insurance (master policy), reserve contributions, management fees. Applicable to attached housing and planned communities.</t>
  </si>
  <si>
    <t>Highly variable by community; $0 for detached without HOA. Estimates assume attached/clustered housing.</t>
  </si>
  <si>
    <t>F04-ClosingCosts</t>
  </si>
  <si>
    <t>Buyer closing costs (one-time)</t>
  </si>
  <si>
    <t>Title insurance, escrow/settlement fees, loan origination fees, appraisal, recording, attorney fees. Paid at closing, not amortized into monthly payment.</t>
  </si>
  <si>
    <t>Typically 2-5% of purchase price. Varies by state and loan type. May be rolled into loan in some cases.</t>
  </si>
  <si>
    <t>Routine maintenance, long-term replacements, reserve funding. Includes home warranty costs (essentially pre-paying for some maintenance and limiting risk of large unexpected repairs).</t>
  </si>
  <si>
    <t>Pre-closing + entitlement hold + option carry + property taxes during hold period (includes construction period). All holding costs before CO.</t>
  </si>
  <si>
    <t>All holding costs from land acquisition through CO. Property taxes during hold are here (not in B11). Excludes construction loan interest (B11).</t>
  </si>
  <si>
    <t>Reduce regulatory uncertainty; increase process predictability</t>
  </si>
  <si>
    <t>Builder controls overhead structure; market conditions affect staffing needs</t>
  </si>
  <si>
    <t>State, Insurer</t>
  </si>
  <si>
    <t>Reform construction defect laws; enable warranty insurance products</t>
  </si>
  <si>
    <t>Builder sets reserves; state laws and litigation climate drive exposure</t>
  </si>
  <si>
    <t>Lender / investor, Market - macro</t>
  </si>
  <si>
    <t>Reduce regulatory uncertainty; enable proven delivery models</t>
  </si>
  <si>
    <t>Enable efficient HOA governance; right-size common area requirements</t>
  </si>
  <si>
    <t>HOA board sets fees; initial developer choices affect long-term costs</t>
  </si>
  <si>
    <t>Mortgage principal payment</t>
  </si>
  <si>
    <t>Market - macro, Federal</t>
  </si>
  <si>
    <t>Expand mortgage products for smaller/efficient homes; reduce origination barriers</t>
  </si>
  <si>
    <t>Lender sets terms; federal policy (GSEs, FHA) shapes product availability</t>
  </si>
  <si>
    <t>Mortgage interest payment</t>
  </si>
  <si>
    <t>Green mortgage rate incentives; expand access to favorable terms</t>
  </si>
  <si>
    <t>Lender prices risk; federal policy and macro rates drive baseline</t>
  </si>
  <si>
    <t>Private mortgage insurance</t>
  </si>
  <si>
    <t>Lender / investor, Federal</t>
  </si>
  <si>
    <t>Reform PMI requirements; enable alternatives for low-down-payment buyers</t>
  </si>
  <si>
    <t>Private insurers price risk; GSE rules drive requirements</t>
  </si>
  <si>
    <t>Buyer closing costs</t>
  </si>
  <si>
    <t>State, Local government</t>
  </si>
  <si>
    <t>Streamline title/escrow; reduce duplicative fees; enable digital closings</t>
  </si>
  <si>
    <t>Lenders/title companies set fees; state regulates title insurance</t>
  </si>
  <si>
    <t>CRO-GREEN_MORTGAGE</t>
  </si>
  <si>
    <t>Lower rates for high-performance homes</t>
  </si>
  <si>
    <t>Rate reductions for energy-efficient homes (e.g., Fannie Mae green financing, Energy Star mortgages). Requires documentation of home performance; savings are monthly over loan term.</t>
  </si>
  <si>
    <t>CRO-CLOSING</t>
  </si>
  <si>
    <t>Builder's risk, general liability, workers comp, bonding (excludes warranty reserves and litigation contingency—see B13-Contingtic)</t>
  </si>
  <si>
    <t>Principal accrued</t>
  </si>
  <si>
    <t>All monthly payments other than accrued principal</t>
  </si>
  <si>
    <t>Total out of pocket payments per month</t>
  </si>
  <si>
    <t>T01-PrincipalAccr</t>
  </si>
  <si>
    <t>T02-NonPrincipalPmt</t>
  </si>
  <si>
    <t>T99-TotalMonthlyPmt</t>
  </si>
  <si>
    <t>Sum of all monthly payments that do NOT build equity: operating costs (O99) + interest (F02) + PMI (F03). This is the true monthly 'cost' of ownership.</t>
  </si>
  <si>
    <t>From F01-Principal. Builds owner equity over time.</t>
  </si>
  <si>
    <t>O99 + F02 + F03. True cost of ownership (no equity return).</t>
  </si>
  <si>
    <t>T01 + T02. Total monthly out-of-pocket.</t>
  </si>
  <si>
    <t>Annual (USD)</t>
  </si>
  <si>
    <t>Estimate</t>
  </si>
  <si>
    <t>Estimated value (USD)</t>
  </si>
  <si>
    <t>CRO_ID</t>
  </si>
  <si>
    <t>CE_ID</t>
  </si>
  <si>
    <t>Relationship</t>
  </si>
  <si>
    <t>Primary</t>
  </si>
  <si>
    <t>Also affected</t>
  </si>
  <si>
    <t>Upfront premium</t>
  </si>
  <si>
    <t>description</t>
  </si>
  <si>
    <t>One-time costs to construct the home</t>
  </si>
  <si>
    <t>Recurring costs to own and maintain the home</t>
  </si>
  <si>
    <t>Costs related to mortgage and buyer financing</t>
  </si>
  <si>
    <t>Computed summary rows</t>
  </si>
  <si>
    <t>Changes to codes, ordinances, or formal rules</t>
  </si>
  <si>
    <t>Process improvements without rule changes</t>
  </si>
  <si>
    <t>Updates to building codes or technical standards</t>
  </si>
  <si>
    <t>Industry behavior changes not requiring policy</t>
  </si>
  <si>
    <t>Changes to lending, insurance, or investment practices</t>
  </si>
  <si>
    <t>Achievable within 1-2 years with existing authority</t>
  </si>
  <si>
    <t>Achievable within 3-5 years, may require new authority or coordination</t>
  </si>
  <si>
    <t>5+ years, requires significant political or market shifts</t>
  </si>
  <si>
    <t>Multi-year total effect; not necessarily discounted</t>
  </si>
  <si>
    <t>Federal</t>
  </si>
  <si>
    <t>Federal agencies, GSEs, FHA, federal tax policy</t>
  </si>
  <si>
    <t>The main cost element targeted by this CRO</t>
  </si>
  <si>
    <t>Secondary cost elements that benefit from this CRO</t>
  </si>
  <si>
    <t>Cost elements where upfront investment is required to achieve savings</t>
  </si>
  <si>
    <t>parameter_id</t>
  </si>
  <si>
    <t>value</t>
  </si>
  <si>
    <t>unit</t>
  </si>
  <si>
    <t>home_sf</t>
  </si>
  <si>
    <t>Home square footage</t>
  </si>
  <si>
    <t>sf</t>
  </si>
  <si>
    <t>home_beds</t>
  </si>
  <si>
    <t>Number of bedrooms</t>
  </si>
  <si>
    <t>beds</t>
  </si>
  <si>
    <t>home_baths</t>
  </si>
  <si>
    <t>Number of bathrooms</t>
  </si>
  <si>
    <t>baths</t>
  </si>
  <si>
    <t>home_stories</t>
  </si>
  <si>
    <t>Number of stories</t>
  </si>
  <si>
    <t>stories</t>
  </si>
  <si>
    <t>home_type</t>
  </si>
  <si>
    <t>Housing type</t>
  </si>
  <si>
    <t>detached</t>
  </si>
  <si>
    <t>mortgage_rate</t>
  </si>
  <si>
    <t>down_payment_pct</t>
  </si>
  <si>
    <t>Down payment percentage</t>
  </si>
  <si>
    <t>loan_term_years</t>
  </si>
  <si>
    <t>Loan term</t>
  </si>
  <si>
    <t>pmi_rate</t>
  </si>
  <si>
    <t>closing_cost_pct</t>
  </si>
  <si>
    <t>Closing costs as % of price</t>
  </si>
  <si>
    <t>construction_inflation</t>
  </si>
  <si>
    <t>Annual construction cost inflation</t>
  </si>
  <si>
    <t>%/yr</t>
  </si>
  <si>
    <t>operating_inflation</t>
  </si>
  <si>
    <t>Annual operating cost inflation (CPI)</t>
  </si>
  <si>
    <t>base_year</t>
  </si>
  <si>
    <t>Base year for estimates</t>
  </si>
  <si>
    <t>year</t>
  </si>
  <si>
    <t>-- ============================================</t>
  </si>
  <si>
    <t>-- CONTROLLED VOCABULARY TABLES (Lookup/Reference)</t>
  </si>
  <si>
    <t>CREATE TABLE stages (</t>
  </si>
  <si>
    <t xml:space="preserve">    stage_id VARCHAR(20) PRIMARY KEY,</t>
  </si>
  <si>
    <t xml:space="preserve">    description TEXT</t>
  </si>
  <si>
    <t>);</t>
  </si>
  <si>
    <t>CREATE TABLE barrier_types (</t>
  </si>
  <si>
    <t xml:space="preserve">    type_id VARCHAR(20) PRIMARY KEY,</t>
  </si>
  <si>
    <t>CREATE TABLE barrier_scopes (</t>
  </si>
  <si>
    <t xml:space="preserve">    scope_id VARCHAR(20) PRIMARY KEY,</t>
  </si>
  <si>
    <t>CREATE TABLE lever_types (</t>
  </si>
  <si>
    <t xml:space="preserve">    lever_id VARCHAR(50) PRIMARY KEY,</t>
  </si>
  <si>
    <t>CREATE TABLE feasibility_horizons (</t>
  </si>
  <si>
    <t xml:space="preserve">    horizon_id VARCHAR(20) PRIMARY KEY,</t>
  </si>
  <si>
    <t>CREATE TABLE savings_cadences (</t>
  </si>
  <si>
    <t xml:space="preserve">    cadence_id VARCHAR(20) PRIMARY KEY,</t>
  </si>
  <si>
    <t>CREATE TABLE primary_dependencies (</t>
  </si>
  <si>
    <t xml:space="preserve">    dependency_id VARCHAR(20) PRIMARY KEY,</t>
  </si>
  <si>
    <t>CREATE TABLE actors (</t>
  </si>
  <si>
    <t xml:space="preserve">    actor_id VARCHAR(50) PRIMARY KEY,</t>
  </si>
  <si>
    <t>CREATE TABLE cost_elements (</t>
  </si>
  <si>
    <t xml:space="preserve">    ce_id VARCHAR(30) PRIMARY KEY,</t>
  </si>
  <si>
    <t xml:space="preserve">    stage_id VARCHAR(20) REFERENCES stages(stage_id),</t>
  </si>
  <si>
    <t xml:space="preserve">    description TEXT NOT NULL,</t>
  </si>
  <si>
    <t xml:space="preserve">    notes TEXT,</t>
  </si>
  <si>
    <t xml:space="preserve">    assumptions TEXT,</t>
  </si>
  <si>
    <t xml:space="preserve">    estimate NUMERIC(12,2),</t>
  </si>
  <si>
    <t xml:space="preserve">    unit VARCHAR(20),</t>
  </si>
  <si>
    <t xml:space="preserve">    cadence VARCHAR(20),</t>
  </si>
  <si>
    <t xml:space="preserve">    is_computed BOOLEAN DEFAULT FALSE,</t>
  </si>
  <si>
    <t xml:space="preserve">    sort_order INTEGER</t>
  </si>
  <si>
    <t>CREATE TABLE cost_reduction_opportunities (</t>
  </si>
  <si>
    <t xml:space="preserve">    cro_id VARCHAR(50) PRIMARY KEY,</t>
  </si>
  <si>
    <t xml:space="preserve">    value_drivers TEXT,</t>
  </si>
  <si>
    <t xml:space="preserve">    cadence_id VARCHAR(20) REFERENCES savings_cadences(cadence_id),</t>
  </si>
  <si>
    <t xml:space="preserve">    dependency_id VARCHAR(20) REFERENCES primary_dependencies(dependency_id),</t>
  </si>
  <si>
    <t xml:space="preserve">    requires_upfront_investment BOOLEAN DEFAULT FALSE,</t>
  </si>
  <si>
    <t>CREATE TABLE barriers (</t>
  </si>
  <si>
    <t xml:space="preserve">    barrier_id VARCHAR(80) PRIMARY KEY,</t>
  </si>
  <si>
    <t xml:space="preserve">    cro_id VARCHAR(50) REFERENCES cost_reduction_opportunities(cro_id),</t>
  </si>
  <si>
    <t xml:space="preserve">    short_name VARCHAR(50),</t>
  </si>
  <si>
    <t xml:space="preserve">    type_id VARCHAR(20) REFERENCES barrier_types(type_id),</t>
  </si>
  <si>
    <t xml:space="preserve">    scope_id VARCHAR(20) REFERENCES barrier_scopes(scope_id),</t>
  </si>
  <si>
    <t xml:space="preserve">    pattern_id VARCHAR(50),</t>
  </si>
  <si>
    <t xml:space="preserve">    effect_mechanism TEXT,</t>
  </si>
  <si>
    <t xml:space="preserve">    lever_id VARCHAR(50) REFERENCES lever_types(lever_id),</t>
  </si>
  <si>
    <t xml:space="preserve">    authority TEXT,</t>
  </si>
  <si>
    <t xml:space="preserve">    horizon_id VARCHAR(20) REFERENCES feasibility_horizons(horizon_id)</t>
  </si>
  <si>
    <t>-- JUNCTION TABLES (Many-to-Many Relationships)</t>
  </si>
  <si>
    <t>CREATE TABLE cro_ce_map (</t>
  </si>
  <si>
    <t xml:space="preserve">    ce_id VARCHAR(30) REFERENCES cost_elements(ce_id),</t>
  </si>
  <si>
    <t xml:space="preserve">    relationship VARCHAR(20),</t>
  </si>
  <si>
    <t xml:space="preserve">    PRIMARY KEY (cro_id, ce_id, relationship)</t>
  </si>
  <si>
    <t>CREATE TABLE ce_actor_map (</t>
  </si>
  <si>
    <t xml:space="preserve">    actor_id VARCHAR(50) REFERENCES actors(actor_id),</t>
  </si>
  <si>
    <t xml:space="preserve">    role VARCHAR(20),</t>
  </si>
  <si>
    <t xml:space="preserve">    policy_lever TEXT,</t>
  </si>
  <si>
    <t xml:space="preserve">    PRIMARY KEY (ce_id, actor_id, role)</t>
  </si>
  <si>
    <t>CREATE TABLE barrier_authority_map (</t>
  </si>
  <si>
    <t xml:space="preserve">    barrier_id VARCHAR(80) REFERENCES barriers(barrier_id),</t>
  </si>
  <si>
    <t xml:space="preserve">    PRIMARY KEY (barrier_id, actor_id)</t>
  </si>
  <si>
    <t>CREATE TABLE scenarios (</t>
  </si>
  <si>
    <t xml:space="preserve">    scenario_id SERIAL PRIMARY KEY,</t>
  </si>
  <si>
    <t xml:space="preserve">    name VARCHAR(100) NOT NULL,</t>
  </si>
  <si>
    <t xml:space="preserve">    description TEXT,</t>
  </si>
  <si>
    <t xml:space="preserve">    home_sf INTEGER,</t>
  </si>
  <si>
    <t xml:space="preserve">    home_beds NUMERIC(3,1),</t>
  </si>
  <si>
    <t xml:space="preserve">    home_baths NUMERIC(3,1),</t>
  </si>
  <si>
    <t xml:space="preserve">    home_type VARCHAR(20),</t>
  </si>
  <si>
    <t xml:space="preserve">    mortgage_rate NUMERIC(5,4),</t>
  </si>
  <si>
    <t xml:space="preserve">    down_payment_pct NUMERIC(5,4),</t>
  </si>
  <si>
    <t xml:space="preserve">    loan_term_years INTEGER,</t>
  </si>
  <si>
    <t xml:space="preserve">    pmi_rate NUMERIC(5,4),</t>
  </si>
  <si>
    <t xml:space="preserve">    closing_cost_pct NUMERIC(5,4),</t>
  </si>
  <si>
    <t xml:space="preserve">    is_default BOOLEAN DEFAULT FALSE,</t>
  </si>
  <si>
    <t xml:space="preserve">    created_at TIMESTAMP DEFAULT NOW()</t>
  </si>
  <si>
    <t>CREATE INDEX idx_barriers_cro ON barriers(cro_id);</t>
  </si>
  <si>
    <t>CREATE INDEX idx_cro_ce_map_cro ON cro_ce_map(cro_id);</t>
  </si>
  <si>
    <t>CREATE INDEX idx_cro_ce_map_ce ON cro_ce_map(ce_id);</t>
  </si>
  <si>
    <t>CREATE INDEX idx_ce_actor_map_ce ON ce_actor_map(ce_id);</t>
  </si>
  <si>
    <t>CREATE INDEX idx_ce_actor_map_actor ON ce_actor_map(actor_id);</t>
  </si>
  <si>
    <t>CREATE INDEX idx_cost_elements_stage ON cost_elements(stage_id);</t>
  </si>
  <si>
    <t>CREATE INDEX idx_barriers_type ON barriers(type_id);</t>
  </si>
  <si>
    <t>CREATE INDEX idx_barriers_scope ON barriers(scope_id);</t>
  </si>
  <si>
    <t>/*</t>
  </si>
  <si>
    <t>┌─────────────────────────────────────────────────────────────────────────────────────────┐</t>
  </si>
  <si>
    <t>│                        HOUSING COST FRAMEWORK - ERD                                     │</t>
  </si>
  <si>
    <t>└─────────────────────────────────────────────────────────────────────────────────────────┘</t>
  </si>
  <si>
    <t xml:space="preserve">                              ┌──────────────┐</t>
  </si>
  <si>
    <t xml:space="preserve">                              │   SCENARIOS  │</t>
  </si>
  <si>
    <t xml:space="preserve">                              │──────────────│</t>
  </si>
  <si>
    <t xml:space="preserve">                              │ scenario_id  │</t>
  </si>
  <si>
    <t xml:space="preserve">                              │ home_sf      │</t>
  </si>
  <si>
    <t xml:space="preserve">                              │ mortgage_rate│</t>
  </si>
  <si>
    <t xml:space="preserve">                              │ ...          │</t>
  </si>
  <si>
    <t xml:space="preserve">                              └──────────────┘</t>
  </si>
  <si>
    <t>┌──────────────┐          ┌──────────────────────┐          ┌──────────────┐</t>
  </si>
  <si>
    <t>│   STAGES     │          │   COST_ELEMENTS (CE) │          │    ACTORS    │</t>
  </si>
  <si>
    <t>│──────────────│          │──────────────────────│          │──────────────│</t>
  </si>
  <si>
    <t>│ stage_id (PK)│◄────────┤│ ce_id (PK)           │          │ actor_id (PK)│</t>
  </si>
  <si>
    <t>│ description  │          │ stage_id (FK)        │          │ description  │</t>
  </si>
  <si>
    <t>└──────────────┘          │ description          │          └───────┬──────┘</t>
  </si>
  <si>
    <t xml:space="preserve">                          │ estimate             │                  │</t>
  </si>
  <si>
    <t xml:space="preserve">                          │ unit, cadence        │                  │</t>
  </si>
  <si>
    <t xml:space="preserve">                          └──────────┬───────────┘                  │</t>
  </si>
  <si>
    <t xml:space="preserve">                                     │                               │</t>
  </si>
  <si>
    <t xml:space="preserve">                          ┌──────────┴───────────┐                  │</t>
  </si>
  <si>
    <t xml:space="preserve">                          │    CE_ACTOR_MAP      │◄─────────────────┘</t>
  </si>
  <si>
    <t xml:space="preserve">                          │──────────────────────│</t>
  </si>
  <si>
    <t xml:space="preserve">                          │ ce_id (FK)           │</t>
  </si>
  <si>
    <t xml:space="preserve">                          │ actor_id (FK)        │</t>
  </si>
  <si>
    <t xml:space="preserve">                          │ role (Pri/Sec)       │</t>
  </si>
  <si>
    <t xml:space="preserve">                          │ policy_lever         │</t>
  </si>
  <si>
    <t xml:space="preserve">                          └──────────────────────┘</t>
  </si>
  <si>
    <t xml:space="preserve">                          ┌──────────────────────┐</t>
  </si>
  <si>
    <t xml:space="preserve">                          │     CRO_CE_MAP       │</t>
  </si>
  <si>
    <t xml:space="preserve">                          │ cro_id (FK)          │</t>
  </si>
  <si>
    <t xml:space="preserve">                          │ ce_id (FK)           │◄───── (links to CE)</t>
  </si>
  <si>
    <t xml:space="preserve">                          │ relationship         │</t>
  </si>
  <si>
    <t xml:space="preserve">                          └──────────┬───────────┘</t>
  </si>
  <si>
    <t xml:space="preserve">                                     │</t>
  </si>
  <si>
    <t xml:space="preserve">                                     ▼</t>
  </si>
  <si>
    <t>┌──────────────┐          ┌──────────────────────┐          ┌──────────────────┐</t>
  </si>
  <si>
    <t>│SAVINGS_CADENCE│         │         CRO          │          │  DEPENDENCIES    │</t>
  </si>
  <si>
    <t>│──────────────│          │──────────────────────│          │──────────────────│</t>
  </si>
  <si>
    <t>│ cadence_id   │◄────────┤│ cro_id (PK)          │├────────►│ dependency_id    │</t>
  </si>
  <si>
    <t>└──────────────┘          │ description          │          └──────────────────┘</t>
  </si>
  <si>
    <t xml:space="preserve">                          │ estimate             │</t>
  </si>
  <si>
    <t xml:space="preserve">                          │ stage_id (FK)        │</t>
  </si>
  <si>
    <t xml:space="preserve">                          │ cadence_id (FK)      │</t>
  </si>
  <si>
    <t xml:space="preserve">                          │ dependency_id (FK)   │</t>
  </si>
  <si>
    <t xml:space="preserve">                          │      BARRIERS        │</t>
  </si>
  <si>
    <t xml:space="preserve">                          │ barrier_id (PK)      │</t>
  </si>
  <si>
    <t xml:space="preserve">                          │ description          │</t>
  </si>
  <si>
    <t xml:space="preserve">                          │ type_id (FK)         │◄─── BARRIER_TYPES</t>
  </si>
  <si>
    <t xml:space="preserve">                          │ scope_id (FK)        │◄─── BARRIER_SCOPES</t>
  </si>
  <si>
    <t xml:space="preserve">                          │ lever_id (FK)        │◄─── LEVER_TYPES</t>
  </si>
  <si>
    <t xml:space="preserve">                          │ horizon_id (FK)      │◄─── FEASIBILITY_HORIZONS</t>
  </si>
  <si>
    <t xml:space="preserve">                          │ effect_mechanism     │</t>
  </si>
  <si>
    <t xml:space="preserve">                          ┌──────────┴───────────┐</t>
  </si>
  <si>
    <t xml:space="preserve">                          │ BARRIER_AUTHORITY_MAP│</t>
  </si>
  <si>
    <t xml:space="preserve">                          │ barrier_id (FK)      │</t>
  </si>
  <si>
    <t xml:space="preserve">                          │ actor_id (FK)        │◄─── (links to ACTORS)</t>
  </si>
  <si>
    <t>KEY RELATIONSHIPS:</t>
  </si>
  <si>
    <t>- CRO ↔0..n CE via CRO_CE_MAP (many-to-many)</t>
  </si>
  <si>
    <t>- CE ↔0..n Actor via CE_ACTOR_MAP (many-to-many)</t>
  </si>
  <si>
    <t>- All lookup tables use natural keys for readability</t>
  </si>
  <si>
    <t>*/</t>
  </si>
  <si>
    <t>9) PostgreSQL Database Schema</t>
  </si>
  <si>
    <t>BAR-DENSITY-HOA_PROHIBITION</t>
  </si>
  <si>
    <t>BAR-DENSITY-MIN_LOT_SIZE</t>
  </si>
  <si>
    <t>BAR-DENSITY-PUBLIC_OPPOSITION</t>
  </si>
  <si>
    <t>BAR-DENSITY-USE_PROHIBITION</t>
  </si>
  <si>
    <t>BAR-DENSITY-UTILITY_SETBACKS</t>
  </si>
  <si>
    <t>BAR-DURABILITY-FIRST_COST_BIAS</t>
  </si>
  <si>
    <t>BAR-DURABILITY-LOW_DURABILITY_MATERIALS</t>
  </si>
  <si>
    <t>BAR-DURABILITY-MIN_CODE_ONLY</t>
  </si>
  <si>
    <t>BAR-DURABILITY-NO_MAINT_ACCESS_REVIEW</t>
  </si>
  <si>
    <t>BAR-DURATION-LONG_TIMELINES</t>
  </si>
  <si>
    <t>BAR-DURATION-SEQUENTIAL_REVIEWS</t>
  </si>
  <si>
    <t>BAR-DURATION-STAFFING_LIMITS</t>
  </si>
  <si>
    <t>BAR-EFFICIENCY-LOW_EFFICIENCY</t>
  </si>
  <si>
    <t>BAR-EFFICIENCY-PRACTICE_GAPS</t>
  </si>
  <si>
    <t>BAR-EFFICIENCY-PRESCRIPTIVE_CODES</t>
  </si>
  <si>
    <t>BAR-EFFICIENCY-RATE_MISALIGNMENT</t>
  </si>
  <si>
    <t>BAR-EFFICIENCY-VERIFICATION_COST</t>
  </si>
  <si>
    <t>BAR-INSURANCE_CREDITS-DATA_GAPS</t>
  </si>
  <si>
    <t>BAR-INSURANCE_CREDITS-HIGH_HAZARD_PERCEPTION</t>
  </si>
  <si>
    <t>BAR-INSURANCE_CREDITS-NO_COMMUNITY_MITIGATION</t>
  </si>
  <si>
    <t>BAR-INSURANCE_CREDITS-NO_INSURABILITY_SIGNAL</t>
  </si>
  <si>
    <t>BAR-INSURANCE_CREDITS-NO_MITIGATION_RECOGNITION</t>
  </si>
  <si>
    <t>BAR-LANDSCAPE-MANDATORY_IRRIGATION</t>
  </si>
  <si>
    <t>BAR-LANDSCAPE-MIN_TREE_COUNT</t>
  </si>
  <si>
    <t>BAR-LANDSCAPE-TREE_CALIPER</t>
  </si>
  <si>
    <t>BAR-LANDSCAPE-UNSCALED_LANDSCAPING</t>
  </si>
  <si>
    <t>BAR-METHODS-ALT_SYSTEMS_LIMITED</t>
  </si>
  <si>
    <t>BAR-METHODS-FRAGMENTED_SEQUENCING</t>
  </si>
  <si>
    <t>BAR-METHODS-INSPECTION_MISMATCH</t>
  </si>
  <si>
    <t>BAR-METHODS-INSURANCE_RELUCTANCE</t>
  </si>
  <si>
    <t>BAR-METHODS-MODULAR_RESTRICTIONS</t>
  </si>
  <si>
    <t>BAR-METHODS-PRESCRIPTIVE_MATERIALS</t>
  </si>
  <si>
    <t>BAR-MITIGATION-DESIGN_GUIDANCE_GAPS</t>
  </si>
  <si>
    <t>BAR-MITIGATION-NO_COMMUNITY_MITIGATION_PLAN</t>
  </si>
  <si>
    <t>BAR-MITIGATION-NO_MITIGATION_STANDARD</t>
  </si>
  <si>
    <t>BAR-INFRA_BURDEN-NO_PROPORTIONALITY</t>
  </si>
  <si>
    <t>BAR-PERMIT_FEES-MULTIPLE_PLAN_CHECKS</t>
  </si>
  <si>
    <t>BAR-PERMIT_FEES-UNSCALED_FEES</t>
  </si>
  <si>
    <t>BAR-PERMIT_FEES-VALUATION_BASED_FEES</t>
  </si>
  <si>
    <t>BAR-PREAPPROVAL-LIABILITY_CONCERNS</t>
  </si>
  <si>
    <t>BAR-PREAPPROVAL-NO_STANDARD_PLANS</t>
  </si>
  <si>
    <t>BAR-PREAPPROVAL-STAFF_CAPACITY</t>
  </si>
  <si>
    <t>BAR-DESIGN_PREDICTABILITY-DISCRETIONARY_REVIEW</t>
  </si>
  <si>
    <t>BAR-FIN_PREDICTABILITY-INSPECTION_DELAYS</t>
  </si>
  <si>
    <t>BAR-DESIGN_PREDICTABILITY-LATE_STAGE_REOPEN</t>
  </si>
  <si>
    <t>BAR-DESIGN_PREDICTABILITY-SHIFTING_REQUIREMENTS</t>
  </si>
  <si>
    <t>BAR-SHARED_INFRA-NO_SHARED_SYSTEMS</t>
  </si>
  <si>
    <t>BAR-SHARED_INFRA-OWNERSHIP_UNCLEAR</t>
  </si>
  <si>
    <t>BAR-SIMPLIFY-AESTHETIC_ONLY_RULES</t>
  </si>
  <si>
    <t>BAR-SIMPLIFY-ARTICULATION_MANDATES</t>
  </si>
  <si>
    <t>BAR-SIMPLIFY-FIRE_ZONING_COMPLEXITY</t>
  </si>
  <si>
    <t>BAR-SIMPLIFY-INCONSISTENT_REVIEW</t>
  </si>
  <si>
    <t>BAR-SIMPLIFY-NO_SIMPLE_ARCHETYPES</t>
  </si>
  <si>
    <t>BAR-SIZE-APPRAISAL_BIAS</t>
  </si>
  <si>
    <t>BAR-SIZE-MIN_ROOM_SIZE</t>
  </si>
  <si>
    <t>BAR-SIZE-MIN_UNIT_SIZE</t>
  </si>
  <si>
    <t>BAR-SIZE-PARKING_INDUCED_SIZE</t>
  </si>
  <si>
    <t>BAR-STANDARDIZE-CUSTOM_DESIGN</t>
  </si>
  <si>
    <t>BAR-STANDARDIZE-MARKET_UNIQUENESS</t>
  </si>
  <si>
    <t>BAR-STANDARDS-CONSERVATIVE_STORMWATER</t>
  </si>
  <si>
    <t>BAR-STANDARDS-EXCESS_PARKING</t>
  </si>
  <si>
    <t>BAR-STANDARDS-OVERSIZED_STREETS</t>
  </si>
  <si>
    <t>BAR-TAXES-NO_SCALING</t>
  </si>
  <si>
    <t>BAR-TAXES-SPECIAL_DISTRICT_FLAT</t>
  </si>
  <si>
    <t>BAR-UNDERWRITE-APPRAISAL_LAG</t>
  </si>
  <si>
    <t>BAR-UNDERWRITE-CODE_UNCERTAINTY</t>
  </si>
  <si>
    <t>BAR-UNDERWRITE-CONSERVATIVE_UNDERWRITE</t>
  </si>
  <si>
    <t>BAR-UNDERWRITE-REGULATORY_RISK</t>
  </si>
  <si>
    <t>BAR-UTILITY_FEES-DEMAND_MISMATCH</t>
  </si>
  <si>
    <t>BAR-UTILITY_FEES-FLAT_TAP_FEES</t>
  </si>
  <si>
    <t>BAR-UTILITY_FEES-INDIVIDUAL_METERS</t>
  </si>
  <si>
    <t>Assumptions</t>
  </si>
  <si>
    <t>Estimate (USD)</t>
  </si>
  <si>
    <t>Costs Incurred</t>
  </si>
  <si>
    <t>Operating + Mortgage + PMI. Does NOT double-count taxes/insurance.</t>
  </si>
  <si>
    <t>vocab_type</t>
  </si>
  <si>
    <t>vocab_id</t>
  </si>
  <si>
    <t>STAGES</t>
  </si>
  <si>
    <t>BARRIER_TYPES</t>
  </si>
  <si>
    <t>BARRIER_SCOPES</t>
  </si>
  <si>
    <t>LEVER_TYPES</t>
  </si>
  <si>
    <t>FEASIBILITY_HORIZONS</t>
  </si>
  <si>
    <t>SAVINGS_CADENCE</t>
  </si>
  <si>
    <t>PRIMARY_DEPENDENCY</t>
  </si>
  <si>
    <t>ACTORS</t>
  </si>
  <si>
    <t>CRO_CE_RELATIONSHIP</t>
  </si>
  <si>
    <t>category</t>
  </si>
  <si>
    <t>REF_HOME</t>
  </si>
  <si>
    <t>FINANCING</t>
  </si>
  <si>
    <t>INFLATION</t>
  </si>
  <si>
    <t>Barrier Description</t>
  </si>
  <si>
    <t>Barrier_ID</t>
  </si>
  <si>
    <t>Barrier Pattern ID</t>
  </si>
  <si>
    <t>Lever Type</t>
  </si>
  <si>
    <t>Feasibility Horizon</t>
  </si>
  <si>
    <t>DB Migration Changelog</t>
  </si>
  <si>
    <t>Date: 2026-01-30</t>
  </si>
  <si>
    <t>SUMMARY OF CHANGES</t>
  </si>
  <si>
    <t>Global Changes:</t>
  </si>
  <si>
    <t>• Removed blank leading column A from all data sheets</t>
  </si>
  <si>
    <t>• Restructured all sheets to have header row in row 1 (no blank rows above)</t>
  </si>
  <si>
    <t>• Converted formula-based IDs to static values for DB ingestion</t>
  </si>
  <si>
    <t>• Removed repeated header rows and section separators from data regions</t>
  </si>
  <si>
    <t>SHEET-BY-SHEET CHANGES</t>
  </si>
  <si>
    <t>1) Cost Elements:</t>
  </si>
  <si>
    <t>• Added Stage column as first column</t>
  </si>
  <si>
    <t>• Removed 4 repeated header rows and 8 blank separator rows</t>
  </si>
  <si>
    <t>• Moved summary/subtotal rows (SYS-BuildSubtotal, B99-BuildTotal, O99-OpTotal, F99-FinanceTotal, T01-T99) to new sheet '1z) Cost Elements - Summary'</t>
  </si>
  <si>
    <t>• Final table: 24 cost element rows with columns: Stage, Cost Element ID, Description, Notes, Assumptions, Estimate (USD), Annual (USD), Unit, Costs Incurred</t>
  </si>
  <si>
    <t>2) Reduction Opportunities:</t>
  </si>
  <si>
    <t>• Removed 3 blank header rows and 1 blank separator row</t>
  </si>
  <si>
    <t>• Final table: 22 CRO rows with 12 columns</t>
  </si>
  <si>
    <t>3) Barriers and Levers:</t>
  </si>
  <si>
    <t>• CRITICAL: Deleted corrupted rows 78-466 containing comparison formulas (=B82=B6 etc.) evaluating to FALSE</t>
  </si>
  <si>
    <t>• Converted Barrier_ID column from CONCATENATE formulas to static values</t>
  </si>
  <si>
    <t>• Restored CRO_ID column (was broken by column deletion) with static values</t>
  </si>
  <si>
    <t>• Removed 5 blank header rows</t>
  </si>
  <si>
    <t>• Final table: 71 barrier rows with 12 columns</t>
  </si>
  <si>
    <t>4) Actor Control Matrix:</t>
  </si>
  <si>
    <t>• Added Cost Element ID as first column</t>
  </si>
  <si>
    <t>• Removed summary pivot section (rows 28-44 showing 'Primary Actor Influence by Stage')</t>
  </si>
  <si>
    <t>• Final table: 24 rows with 6 columns</t>
  </si>
  <si>
    <t>5) Financing Conditions:</t>
  </si>
  <si>
    <t>• Added ID column as first column</t>
  </si>
  <si>
    <t>• Converted formula references (to Cost Elements) to static values</t>
  </si>
  <si>
    <t>• Removed 3 blank header rows</t>
  </si>
  <si>
    <t>• Final table: 8 parameter rows with 5 columns</t>
  </si>
  <si>
    <t>6) CRO-CE Map:</t>
  </si>
  <si>
    <t>• Restored CRO_ID column (was deleted with column A)</t>
  </si>
  <si>
    <t>• Removed 2 blank header rows</t>
  </si>
  <si>
    <t>• Final table: 53 junction rows with 3 columns (CRO_ID, CE_ID, Relationship)</t>
  </si>
  <si>
    <t>7) Controlled Vocabularies:</t>
  </si>
  <si>
    <t>• Added vocab_type column to identify vocabulary category</t>
  </si>
  <si>
    <t>• Consolidated all vocabularies into single flat table (vs. stacked sections)</t>
  </si>
  <si>
    <t>• Removed section header rows and blank separators</t>
  </si>
  <si>
    <t>• Final table: 46 vocabulary rows with 3 columns (vocab_type, vocab_id, description)</t>
  </si>
  <si>
    <t>8) Scenarios:</t>
  </si>
  <si>
    <t>• Added category and parameter_id columns</t>
  </si>
  <si>
    <t>• Consolidated parameters into single flat table (vs. stacked sections)</t>
  </si>
  <si>
    <t>• Final table: 13 parameter rows with 5 columns (category, parameter_id, description, value, unit)</t>
  </si>
  <si>
    <t>9) DB Schema:</t>
  </si>
  <si>
    <t>• Removed blank column A (user action)</t>
  </si>
  <si>
    <t>• No other changes - kept as documentation</t>
  </si>
  <si>
    <t>NEW SHEETS CREATED:</t>
  </si>
  <si>
    <t>• 1z) Cost Elements - Summary: Contains subtotal/total rows moved from Cost Elements (7 rows)</t>
  </si>
  <si>
    <t>• Changelog: This documentation sheet</t>
  </si>
  <si>
    <t>TABLES TO CREATE (recommended names):</t>
  </si>
  <si>
    <t>• tbl_cost_elements (Sheet 1)</t>
  </si>
  <si>
    <t>• tbl_cro (Sheet 2)</t>
  </si>
  <si>
    <t>• tbl_barriers (Sheet 3)</t>
  </si>
  <si>
    <t>• tbl_actor_control (Sheet 4)</t>
  </si>
  <si>
    <t>• tbl_financing_params (Sheet 5)</t>
  </si>
  <si>
    <t>• tbl_cro_ce_map (Sheet 6)</t>
  </si>
  <si>
    <t>• tbl_vocabularies (Sheet 7)</t>
  </si>
  <si>
    <t>• tbl_scenario_params (Sheet 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</si>
</sst>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quot;$&quot;* #,##0_);_(&quot;$&quot;* \(#,##0\);_(&quot;$&quot;* &quot;-&quot;??_);_(@_)"/>
  </numFmts>
  <fonts count="9" x14ac:knownFonts="1">
    <font>
      <sz val="12"/>
      <color theme="1"/>
      <name val="Aptos Narrow"/>
      <family val="2"/>
      <scheme val="minor"/>
    </font>
    <font>
      <sz val="12"/>
      <color theme="1"/>
      <name val="Aptos Narrow"/>
      <family val="2"/>
      <scheme val="minor"/>
    </font>
    <font>
      <sz val="8"/>
      <name val="Aptos Narrow"/>
      <family val="2"/>
      <scheme val="minor"/>
    </font>
    <font>
      <sz val="12"/>
      <color rgb="FF002060"/>
      <name val="Aptos Narrow"/>
      <family val="2"/>
      <scheme val="minor"/>
    </font>
    <font>
      <b/>
      <sz val="12"/>
      <color theme="1"/>
      <name val="Aptos Narrow"/>
      <family val="2"/>
      <scheme val="minor"/>
    </font>
    <font>
      <b/>
      <sz val="14"/>
      <color theme="1"/>
      <name val="Aptos Narrow"/>
      <family val="2"/>
      <scheme val="minor"/>
    </font>
    <font>
      <b/>
      <sz val="16"/>
      <color theme="1"/>
      <name val="Aptos Narrow"/>
      <family val="2"/>
      <scheme val="minor"/>
    </font>
    <font>
      <sz val="12"/>
      <color theme="1"/>
      <name val="Consolas"/>
      <family val="2"/>
    </font>
    <font>
      <b/>
      <sz val="12"/>
      <color theme="1"/>
      <name val="Consolas"/>
      <family val="2"/>
    </font>
  </fonts>
  <fills count="3">
    <fill>
      <patternFill patternType="none"/>
    </fill>
    <fill>
      <patternFill patternType="gray125"/>
    </fill>
    <fill>
      <patternFill patternType="solid">
        <fgColor rgb="FFD9D9D9"/>
        <bgColor indexed="64"/>
      </patternFill>
    </fill>
  </fills>
  <borders count="4">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bottom/>
      <diagonal/>
    </border>
    <border>
      <left style="thin">
        <color theme="0" tint="-0.24994659260841701"/>
      </left>
      <right/>
      <top/>
      <bottom/>
      <diagonal/>
    </border>
  </borders>
  <cellStyleXfs count="2">
    <xf numFmtId="0" fontId="0" fillId="0" borderId="0"/>
    <xf numFmtId="44" fontId="1" fillId="0" borderId="0" applyFont="0" applyFill="0" applyBorder="0" applyAlignment="0" applyProtection="0"/>
  </cellStyleXfs>
  <cellXfs count="13">
    <xf numFmtId="0" fontId="0" fillId="0" borderId="0" xfId="0"/>
    <xf numFmtId="0" fontId="0" fillId="0" borderId="1" xfId="0" applyBorder="1" applyAlignment="1">
      <alignment horizontal="left" indent="1"/>
    </xf>
    <xf numFmtId="0" fontId="0" fillId="0" borderId="0" xfId="0" applyAlignment="1">
      <alignment horizontal="left" indent="1"/>
    </xf>
    <xf numFmtId="0" fontId="3" fillId="0" borderId="1" xfId="0" applyFont="1" applyBorder="1" applyAlignment="1">
      <alignment horizontal="left" indent="1"/>
    </xf>
    <xf numFmtId="0" fontId="0" fillId="0" borderId="2" xfId="0" applyBorder="1" applyAlignment="1">
      <alignment horizontal="left" indent="1"/>
    </xf>
    <xf numFmtId="0" fontId="0" fillId="0" borderId="3" xfId="0" applyBorder="1" applyAlignment="1">
      <alignment horizontal="left" indent="1"/>
    </xf>
    <xf numFmtId="0" fontId="4" fillId="0" borderId="0" xfId="0" applyFont="1"/>
    <xf numFmtId="0" fontId="4" fillId="2" borderId="0" xfId="0" applyFont="1" applyFill="1"/>
    <xf numFmtId="0" fontId="5" fillId="0" borderId="0" xfId="0" applyFont="1"/>
    <xf numFmtId="164" fontId="0" fillId="0" borderId="0" xfId="1" applyNumberFormat="1" applyFont="1"/>
    <xf numFmtId="0" fontId="6" fillId="0" borderId="0" xfId="0" applyFont="1"/>
    <xf numFmtId="0" fontId="7" fillId="0" borderId="0" xfId="0" applyFont="1"/>
    <xf numFmtId="0" fontId="8" fillId="0" borderId="0" xfId="0" applyFont="1"/>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0</xdr:rowOff>
    </xdr:from>
    <xdr:to>
      <xdr:col>12</xdr:col>
      <xdr:colOff>660400</xdr:colOff>
      <xdr:row>49</xdr:row>
      <xdr:rowOff>139700</xdr:rowOff>
    </xdr:to>
    <xdr:sp macro="" textlink="">
      <xdr:nvSpPr>
        <xdr:cNvPr id="2" name="TextBox 1">
          <a:extLst>
            <a:ext uri="{FF2B5EF4-FFF2-40B4-BE49-F238E27FC236}">
              <a16:creationId xmlns:a16="http://schemas.microsoft.com/office/drawing/2014/main" id="{BD6B64CE-A81E-D966-9F50-9FF2C2F48866}"/>
            </a:ext>
          </a:extLst>
        </xdr:cNvPr>
        <xdr:cNvSpPr txBox="1"/>
      </xdr:nvSpPr>
      <xdr:spPr>
        <a:xfrm>
          <a:off x="647700" y="406400"/>
          <a:ext cx="10744200" cy="9690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Housing Affordability Framework - Overview</a:t>
          </a:r>
          <a:endParaRPr lang="en-US" sz="1800"/>
        </a:p>
        <a:p>
          <a:endParaRPr lang="en-US" sz="1800"/>
        </a:p>
        <a:p>
          <a:r>
            <a:rPr lang="en-US" sz="1800"/>
            <a:t>Housing is expensive because many independent decisions, rules, and practices add cost over time. This framework makes housing costs visible by breaking them into clear, non-overlapping elements and linking each element to specific opportunities to reduce cost, the barriers that get in the way, and the decision-makers who have the authority to act.</a:t>
          </a:r>
        </a:p>
        <a:p>
          <a:endParaRPr lang="en-US" sz="1800"/>
        </a:p>
        <a:p>
          <a:r>
            <a:rPr lang="en-US" sz="1800"/>
            <a:t>The framework is developed alongside the Fort Collins Building Science &amp; Beer </a:t>
          </a:r>
          <a:r>
            <a:rPr lang="en-US" sz="1800" b="1"/>
            <a:t>Affordability Series</a:t>
          </a:r>
          <a:r>
            <a:rPr lang="en-US" sz="1800"/>
            <a:t> (https://www.fcbsb.org/affordability/) and the </a:t>
          </a:r>
          <a:r>
            <a:rPr lang="en-US" sz="1800" b="1"/>
            <a:t>Housing Cost Model</a:t>
          </a:r>
          <a:r>
            <a:rPr lang="en-US" sz="1800"/>
            <a:t> (https://www.fcbsb.org/cost-model/), which provide deeper explanation, examples, and local context.</a:t>
          </a:r>
        </a:p>
        <a:p>
          <a:endParaRPr lang="en-US" sz="1800"/>
        </a:p>
        <a:p>
          <a:r>
            <a:rPr lang="en-US" sz="1800" b="1"/>
            <a:t>Core Tables</a:t>
          </a:r>
        </a:p>
        <a:p>
          <a:endParaRPr lang="en-US" sz="1800"/>
        </a:p>
        <a:p>
          <a:r>
            <a:rPr lang="en-US" sz="1800" b="1"/>
            <a:t>1) Cost Elements Tables (1a and 1b)</a:t>
          </a:r>
          <a:endParaRPr lang="en-US" sz="1800"/>
        </a:p>
        <a:p>
          <a:r>
            <a:rPr lang="en-US" sz="1800"/>
            <a:t>Table 1a shows how total up-front development cost is built from all contributing cost elements. Table 1b shows recurring operating costs borne by occupants over time. Together, these tables establish a clear baseline for affordability analysis and distinguish first price from long-term cost of living.</a:t>
          </a:r>
        </a:p>
        <a:p>
          <a:endParaRPr lang="en-US" sz="1800"/>
        </a:p>
        <a:p>
          <a:r>
            <a:rPr lang="en-US" sz="1800" b="1"/>
            <a:t>2) Cost Reduction Opportunities (CROs)</a:t>
          </a:r>
          <a:endParaRPr lang="en-US" sz="1800"/>
        </a:p>
        <a:p>
          <a:r>
            <a:rPr lang="en-US" sz="1800"/>
            <a:t>Identifies specific opportunities to reduce housing cost, either up front or over time. Each opportunity is linked to the cost elements it affects and includes rough estimates of potential cost reduction, which should not be added together because some overlap.</a:t>
          </a:r>
        </a:p>
        <a:p>
          <a:endParaRPr lang="en-US" sz="1800"/>
        </a:p>
        <a:p>
          <a:r>
            <a:rPr lang="en-US" sz="1800" b="1"/>
            <a:t>3) Barriers and Levers</a:t>
          </a:r>
          <a:endParaRPr lang="en-US" sz="1800"/>
        </a:p>
        <a:p>
          <a:r>
            <a:rPr lang="en-US" sz="1800"/>
            <a:t>An inventory of the specific rules, practices, capacity limits, and market conditions that prevent cost-reduction opportunities from being realized, along with the types of actions needed to address them.</a:t>
          </a:r>
        </a:p>
        <a:p>
          <a:endParaRPr lang="en-US" sz="1800"/>
        </a:p>
        <a:p>
          <a:r>
            <a:rPr lang="en-US" sz="1800" b="1"/>
            <a:t>4) Actor Control Matrix</a:t>
          </a:r>
          <a:endParaRPr lang="en-US" sz="1800"/>
        </a:p>
        <a:p>
          <a:r>
            <a:rPr lang="en-US" sz="1800"/>
            <a:t>Maps each cost element to the decision-makers with primary control and the most relevant policy levers, helping focus affordability efforts where action is actually possible.</a:t>
          </a:r>
        </a:p>
        <a:p>
          <a:endParaRPr lang="en-US" sz="1800"/>
        </a:p>
        <a:p>
          <a:r>
            <a:rPr lang="en-US" sz="1800"/>
            <a:t>Each cost element (Table 1) may have multiple opportunities to reduce cost (Table 2), which can be blocked by one or more barriers and require action by different actors (Table 3). The Actor Control Matrix (Table 4) shows who has the authority to act.</a:t>
          </a:r>
        </a:p>
        <a:p>
          <a:endParaRPr lang="en-US" sz="18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457199</xdr:colOff>
      <xdr:row>10</xdr:row>
      <xdr:rowOff>190500</xdr:rowOff>
    </xdr:from>
    <xdr:to>
      <xdr:col>7</xdr:col>
      <xdr:colOff>304799</xdr:colOff>
      <xdr:row>14</xdr:row>
      <xdr:rowOff>88900</xdr:rowOff>
    </xdr:to>
    <xdr:sp macro="" textlink="">
      <xdr:nvSpPr>
        <xdr:cNvPr id="2" name="Rectangle 1">
          <a:extLst>
            <a:ext uri="{FF2B5EF4-FFF2-40B4-BE49-F238E27FC236}">
              <a16:creationId xmlns:a16="http://schemas.microsoft.com/office/drawing/2014/main" id="{D342BEAF-DA22-082A-E6FC-F7123FF1C9AC}"/>
            </a:ext>
          </a:extLst>
        </xdr:cNvPr>
        <xdr:cNvSpPr/>
      </xdr:nvSpPr>
      <xdr:spPr>
        <a:xfrm rot="20712633">
          <a:off x="17360899" y="2260600"/>
          <a:ext cx="2717800" cy="711200"/>
        </a:xfrm>
        <a:prstGeom prst="rect">
          <a:avLst/>
        </a:prstGeom>
        <a:solidFill>
          <a:schemeClr val="accent1">
            <a:alpha val="62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a:solidFill>
                <a:schemeClr val="bg1">
                  <a:lumMod val="95000"/>
                </a:schemeClr>
              </a:solidFill>
            </a:rPr>
            <a:t>Illustrative</a:t>
          </a:r>
        </a:p>
      </xdr:txBody>
    </xdr:sp>
    <xdr:clientData/>
  </xdr:twoCellAnchor>
  <xdr:twoCellAnchor>
    <xdr:from>
      <xdr:col>2</xdr:col>
      <xdr:colOff>932846</xdr:colOff>
      <xdr:row>7</xdr:row>
      <xdr:rowOff>18142</xdr:rowOff>
    </xdr:from>
    <xdr:to>
      <xdr:col>3</xdr:col>
      <xdr:colOff>1992668</xdr:colOff>
      <xdr:row>16</xdr:row>
      <xdr:rowOff>66172</xdr:rowOff>
    </xdr:to>
    <xdr:sp macro="" textlink="">
      <xdr:nvSpPr>
        <xdr:cNvPr id="5" name="Rectangle 4">
          <a:extLst>
            <a:ext uri="{FF2B5EF4-FFF2-40B4-BE49-F238E27FC236}">
              <a16:creationId xmlns:a16="http://schemas.microsoft.com/office/drawing/2014/main" id="{41A0622A-06E3-8548-81E2-13D61EA891D6}"/>
            </a:ext>
          </a:extLst>
        </xdr:cNvPr>
        <xdr:cNvSpPr/>
      </xdr:nvSpPr>
      <xdr:spPr>
        <a:xfrm rot="20254448">
          <a:off x="7526263" y="2166559"/>
          <a:ext cx="5864655" cy="18577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5400">
              <a:solidFill>
                <a:schemeClr val="bg1">
                  <a:lumMod val="50000"/>
                  <a:alpha val="60000"/>
                </a:schemeClr>
              </a:solidFill>
            </a:rPr>
            <a:t>Rough</a:t>
          </a:r>
          <a:r>
            <a:rPr lang="en-US" sz="5400" baseline="0">
              <a:solidFill>
                <a:schemeClr val="bg1">
                  <a:lumMod val="50000"/>
                  <a:alpha val="60000"/>
                </a:schemeClr>
              </a:solidFill>
            </a:rPr>
            <a:t> draft</a:t>
          </a:r>
          <a:endParaRPr lang="en-US" sz="5400">
            <a:solidFill>
              <a:schemeClr val="bg1">
                <a:lumMod val="50000"/>
                <a:alpha val="60000"/>
              </a:schemeClr>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444949</xdr:colOff>
      <xdr:row>8</xdr:row>
      <xdr:rowOff>83409</xdr:rowOff>
    </xdr:from>
    <xdr:to>
      <xdr:col>5</xdr:col>
      <xdr:colOff>0</xdr:colOff>
      <xdr:row>11</xdr:row>
      <xdr:rowOff>185009</xdr:rowOff>
    </xdr:to>
    <xdr:sp macro="" textlink="">
      <xdr:nvSpPr>
        <xdr:cNvPr id="2" name="Rectangle 1">
          <a:extLst>
            <a:ext uri="{FF2B5EF4-FFF2-40B4-BE49-F238E27FC236}">
              <a16:creationId xmlns:a16="http://schemas.microsoft.com/office/drawing/2014/main" id="{A62CCEA7-16CA-614F-9056-D04A6E5DF98F}"/>
            </a:ext>
          </a:extLst>
        </xdr:cNvPr>
        <xdr:cNvSpPr/>
      </xdr:nvSpPr>
      <xdr:spPr>
        <a:xfrm rot="20712633">
          <a:off x="10300149" y="2966309"/>
          <a:ext cx="2149240" cy="711200"/>
        </a:xfrm>
        <a:prstGeom prst="rect">
          <a:avLst/>
        </a:prstGeom>
        <a:solidFill>
          <a:schemeClr val="accent1">
            <a:alpha val="62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a:solidFill>
                <a:schemeClr val="bg1">
                  <a:lumMod val="95000"/>
                </a:schemeClr>
              </a:solidFill>
            </a:rPr>
            <a:t>Illustrative</a:t>
          </a:r>
        </a:p>
      </xdr:txBody>
    </xdr:sp>
    <xdr:clientData/>
  </xdr:twoCellAnchor>
  <xdr:twoCellAnchor>
    <xdr:from>
      <xdr:col>1</xdr:col>
      <xdr:colOff>380077</xdr:colOff>
      <xdr:row>9</xdr:row>
      <xdr:rowOff>131670</xdr:rowOff>
    </xdr:from>
    <xdr:to>
      <xdr:col>3</xdr:col>
      <xdr:colOff>3248411</xdr:colOff>
      <xdr:row>17</xdr:row>
      <xdr:rowOff>113726</xdr:rowOff>
    </xdr:to>
    <xdr:sp macro="" textlink="">
      <xdr:nvSpPr>
        <xdr:cNvPr id="6" name="Rectangle 5">
          <a:extLst>
            <a:ext uri="{FF2B5EF4-FFF2-40B4-BE49-F238E27FC236}">
              <a16:creationId xmlns:a16="http://schemas.microsoft.com/office/drawing/2014/main" id="{F9BD8613-5FD3-F34E-A362-8062FFFB6102}"/>
            </a:ext>
          </a:extLst>
        </xdr:cNvPr>
        <xdr:cNvSpPr/>
      </xdr:nvSpPr>
      <xdr:spPr>
        <a:xfrm rot="20254448">
          <a:off x="5760259" y="2729397"/>
          <a:ext cx="5858607" cy="164460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5400">
              <a:solidFill>
                <a:schemeClr val="bg1">
                  <a:lumMod val="50000"/>
                  <a:alpha val="60000"/>
                </a:schemeClr>
              </a:solidFill>
            </a:rPr>
            <a:t>Rough</a:t>
          </a:r>
          <a:r>
            <a:rPr lang="en-US" sz="5400" baseline="0">
              <a:solidFill>
                <a:schemeClr val="bg1">
                  <a:lumMod val="50000"/>
                  <a:alpha val="60000"/>
                </a:schemeClr>
              </a:solidFill>
            </a:rPr>
            <a:t> draft</a:t>
          </a:r>
          <a:endParaRPr lang="en-US" sz="5400">
            <a:solidFill>
              <a:schemeClr val="bg1">
                <a:lumMod val="50000"/>
                <a:alpha val="60000"/>
              </a:schemeClr>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2435737</xdr:colOff>
      <xdr:row>29</xdr:row>
      <xdr:rowOff>10230</xdr:rowOff>
    </xdr:from>
    <xdr:to>
      <xdr:col>5</xdr:col>
      <xdr:colOff>723299</xdr:colOff>
      <xdr:row>38</xdr:row>
      <xdr:rowOff>64552</xdr:rowOff>
    </xdr:to>
    <xdr:sp macro="" textlink="">
      <xdr:nvSpPr>
        <xdr:cNvPr id="2" name="Rectangle 1">
          <a:extLst>
            <a:ext uri="{FF2B5EF4-FFF2-40B4-BE49-F238E27FC236}">
              <a16:creationId xmlns:a16="http://schemas.microsoft.com/office/drawing/2014/main" id="{B5D19CB6-D1B6-B24A-A8AC-F15D0BBF49F5}"/>
            </a:ext>
          </a:extLst>
        </xdr:cNvPr>
        <xdr:cNvSpPr/>
      </xdr:nvSpPr>
      <xdr:spPr>
        <a:xfrm rot="20254448">
          <a:off x="8125337" y="6233230"/>
          <a:ext cx="9819162" cy="188312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500">
              <a:solidFill>
                <a:schemeClr val="bg1">
                  <a:lumMod val="50000"/>
                  <a:alpha val="60000"/>
                </a:schemeClr>
              </a:solidFill>
            </a:rPr>
            <a:t>Rough</a:t>
          </a:r>
          <a:r>
            <a:rPr lang="en-US" sz="11500" baseline="0">
              <a:solidFill>
                <a:schemeClr val="bg1">
                  <a:lumMod val="50000"/>
                  <a:alpha val="60000"/>
                </a:schemeClr>
              </a:solidFill>
            </a:rPr>
            <a:t> draft</a:t>
          </a:r>
          <a:endParaRPr lang="en-US" sz="11500">
            <a:solidFill>
              <a:schemeClr val="bg1">
                <a:lumMod val="50000"/>
                <a:alpha val="60000"/>
              </a:schemeClr>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65DE74A-7194-0049-B998-8A4EFDD7FC7E}">
  <we:reference id="wa200009404" version="1.0.0.5" store="en-US" storeType="OMEX"/>
  <we:alternateReferences>
    <we:reference id="wa200009404" version="1.0.0.5" store="en-US" storeType="OMEX"/>
  </we:alternateReferences>
  <we:properties>
    <we:property name="Office.AutoShowTaskpaneWithDocument" value="true"/>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249F0-1FA2-4C46-9E0F-C4CDE5B71292}">
  <sheetPr>
    <pageSetUpPr fitToPage="1"/>
  </sheetPr>
  <dimension ref="A1"/>
  <sheetViews>
    <sheetView showGridLines="0" workbookViewId="0">
      <selection sqref="A1:A1048576"/>
    </sheetView>
  </sheetViews>
  <sheetFormatPr baseColWidth="10" defaultRowHeight="16" x14ac:dyDescent="0.2"/>
  <sheetData/>
  <pageMargins left="0.25" right="0.25" top="0.75" bottom="0.75" header="0.3" footer="0.3"/>
  <pageSetup scale="68" fitToHeight="0" orientation="landscape"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ACA6B-19A0-1848-BC4A-796FDEC5A6B8}">
  <sheetPr>
    <pageSetUpPr fitToPage="1"/>
  </sheetPr>
  <dimension ref="A1:I35"/>
  <sheetViews>
    <sheetView showGridLines="0" tabSelected="1" zoomScale="110" zoomScaleNormal="110" workbookViewId="0"/>
  </sheetViews>
  <sheetFormatPr baseColWidth="10" defaultRowHeight="16" x14ac:dyDescent="0.2"/>
  <cols>
    <col min="1" max="1" width="17.6640625" customWidth="1"/>
    <col min="2" max="2" width="49.5" bestFit="1" customWidth="1"/>
    <col min="3" max="3" width="63" bestFit="1" customWidth="1"/>
    <col min="4" max="4" width="91.6640625" customWidth="1"/>
    <col min="5" max="5" width="13.1640625" customWidth="1"/>
    <col min="6" max="6" width="12.5" customWidth="1"/>
    <col min="7" max="7" width="13.1640625" bestFit="1" customWidth="1"/>
  </cols>
  <sheetData>
    <row r="1" spans="1:9" x14ac:dyDescent="0.2">
      <c r="A1" t="s">
        <v>21</v>
      </c>
      <c r="B1" t="s">
        <v>195</v>
      </c>
      <c r="C1" t="s">
        <v>531</v>
      </c>
      <c r="D1" t="s">
        <v>532</v>
      </c>
      <c r="E1" t="s">
        <v>968</v>
      </c>
      <c r="F1" t="s">
        <v>969</v>
      </c>
      <c r="G1" t="s">
        <v>686</v>
      </c>
      <c r="H1" t="s">
        <v>512</v>
      </c>
      <c r="I1" t="s">
        <v>970</v>
      </c>
    </row>
    <row r="2" spans="1:9" x14ac:dyDescent="0.2">
      <c r="A2" t="s">
        <v>22</v>
      </c>
      <c r="B2" t="s">
        <v>363</v>
      </c>
      <c r="C2" t="s">
        <v>364</v>
      </c>
      <c r="D2" t="s">
        <v>365</v>
      </c>
      <c r="E2" t="s">
        <v>510</v>
      </c>
      <c r="F2">
        <v>50000</v>
      </c>
      <c r="H2" t="s">
        <v>513</v>
      </c>
      <c r="I2" t="s">
        <v>27</v>
      </c>
    </row>
    <row r="3" spans="1:9" x14ac:dyDescent="0.2">
      <c r="A3" t="s">
        <v>22</v>
      </c>
      <c r="B3" t="s">
        <v>366</v>
      </c>
      <c r="C3" t="s">
        <v>367</v>
      </c>
      <c r="D3" t="s">
        <v>484</v>
      </c>
      <c r="E3" t="s">
        <v>524</v>
      </c>
      <c r="F3">
        <v>15000</v>
      </c>
      <c r="H3" t="s">
        <v>513</v>
      </c>
      <c r="I3" t="s">
        <v>27</v>
      </c>
    </row>
    <row r="4" spans="1:9" x14ac:dyDescent="0.2">
      <c r="A4" t="s">
        <v>22</v>
      </c>
      <c r="B4" t="s">
        <v>368</v>
      </c>
      <c r="C4" t="s">
        <v>369</v>
      </c>
      <c r="D4" t="s">
        <v>645</v>
      </c>
      <c r="E4" t="s">
        <v>646</v>
      </c>
      <c r="F4">
        <v>5000</v>
      </c>
      <c r="H4" t="s">
        <v>513</v>
      </c>
      <c r="I4" t="s">
        <v>27</v>
      </c>
    </row>
    <row r="5" spans="1:9" x14ac:dyDescent="0.2">
      <c r="A5" t="s">
        <v>22</v>
      </c>
      <c r="B5" t="s">
        <v>400</v>
      </c>
      <c r="C5" t="s">
        <v>401</v>
      </c>
      <c r="D5" t="s">
        <v>402</v>
      </c>
      <c r="E5" t="s">
        <v>20</v>
      </c>
      <c r="F5">
        <v>12000</v>
      </c>
      <c r="H5" t="s">
        <v>513</v>
      </c>
      <c r="I5" t="s">
        <v>27</v>
      </c>
    </row>
    <row r="6" spans="1:9" x14ac:dyDescent="0.2">
      <c r="A6" t="s">
        <v>22</v>
      </c>
      <c r="B6" t="s">
        <v>403</v>
      </c>
      <c r="C6" t="s">
        <v>404</v>
      </c>
      <c r="D6" t="s">
        <v>405</v>
      </c>
      <c r="E6" t="s">
        <v>406</v>
      </c>
      <c r="F6">
        <v>13000</v>
      </c>
      <c r="H6" t="s">
        <v>513</v>
      </c>
      <c r="I6" t="s">
        <v>27</v>
      </c>
    </row>
    <row r="7" spans="1:9" x14ac:dyDescent="0.2">
      <c r="A7" t="s">
        <v>22</v>
      </c>
      <c r="B7" t="s">
        <v>193</v>
      </c>
      <c r="C7" t="s">
        <v>370</v>
      </c>
      <c r="D7" t="s">
        <v>371</v>
      </c>
      <c r="E7" t="s">
        <v>19</v>
      </c>
      <c r="F7">
        <v>45000</v>
      </c>
      <c r="H7" t="s">
        <v>513</v>
      </c>
      <c r="I7" t="s">
        <v>27</v>
      </c>
    </row>
    <row r="8" spans="1:9" x14ac:dyDescent="0.2">
      <c r="A8" t="s">
        <v>22</v>
      </c>
      <c r="B8" t="s">
        <v>194</v>
      </c>
      <c r="C8" t="s">
        <v>372</v>
      </c>
      <c r="D8" t="s">
        <v>521</v>
      </c>
      <c r="E8" t="s">
        <v>525</v>
      </c>
      <c r="F8">
        <v>25000</v>
      </c>
      <c r="H8" t="s">
        <v>513</v>
      </c>
      <c r="I8" t="s">
        <v>27</v>
      </c>
    </row>
    <row r="9" spans="1:9" x14ac:dyDescent="0.2">
      <c r="A9" t="s">
        <v>22</v>
      </c>
      <c r="B9" t="s">
        <v>373</v>
      </c>
      <c r="C9" t="s">
        <v>374</v>
      </c>
      <c r="D9" t="s">
        <v>522</v>
      </c>
      <c r="E9" t="s">
        <v>407</v>
      </c>
      <c r="F9">
        <v>125000</v>
      </c>
      <c r="H9" t="s">
        <v>513</v>
      </c>
      <c r="I9" t="s">
        <v>27</v>
      </c>
    </row>
    <row r="10" spans="1:9" x14ac:dyDescent="0.2">
      <c r="A10" t="s">
        <v>22</v>
      </c>
      <c r="B10" t="s">
        <v>375</v>
      </c>
      <c r="C10" t="s">
        <v>376</v>
      </c>
      <c r="D10" t="s">
        <v>523</v>
      </c>
      <c r="E10" t="s">
        <v>408</v>
      </c>
      <c r="F10">
        <v>122500</v>
      </c>
      <c r="H10" t="s">
        <v>513</v>
      </c>
      <c r="I10" t="s">
        <v>27</v>
      </c>
    </row>
    <row r="11" spans="1:9" x14ac:dyDescent="0.2">
      <c r="A11" t="s">
        <v>22</v>
      </c>
      <c r="B11" t="s">
        <v>377</v>
      </c>
      <c r="C11" t="s">
        <v>378</v>
      </c>
      <c r="D11" t="s">
        <v>379</v>
      </c>
      <c r="E11" t="s">
        <v>397</v>
      </c>
      <c r="F11">
        <v>15000</v>
      </c>
      <c r="H11" t="s">
        <v>513</v>
      </c>
      <c r="I11" t="s">
        <v>27</v>
      </c>
    </row>
    <row r="12" spans="1:9" x14ac:dyDescent="0.2">
      <c r="A12" t="s">
        <v>22</v>
      </c>
      <c r="B12" t="s">
        <v>380</v>
      </c>
      <c r="C12" t="s">
        <v>485</v>
      </c>
      <c r="D12" t="s">
        <v>675</v>
      </c>
      <c r="E12" t="s">
        <v>409</v>
      </c>
      <c r="F12">
        <v>8000</v>
      </c>
      <c r="H12" t="s">
        <v>513</v>
      </c>
      <c r="I12" t="s">
        <v>27</v>
      </c>
    </row>
    <row r="13" spans="1:9" x14ac:dyDescent="0.2">
      <c r="A13" t="s">
        <v>22</v>
      </c>
      <c r="B13" t="s">
        <v>381</v>
      </c>
      <c r="C13" t="s">
        <v>382</v>
      </c>
      <c r="D13" t="s">
        <v>526</v>
      </c>
      <c r="E13" t="s">
        <v>527</v>
      </c>
      <c r="F13">
        <v>40000</v>
      </c>
      <c r="H13" t="s">
        <v>513</v>
      </c>
      <c r="I13" t="s">
        <v>27</v>
      </c>
    </row>
    <row r="14" spans="1:9" x14ac:dyDescent="0.2">
      <c r="A14" t="s">
        <v>22</v>
      </c>
      <c r="B14" t="s">
        <v>624</v>
      </c>
      <c r="C14" t="s">
        <v>625</v>
      </c>
      <c r="D14" t="s">
        <v>626</v>
      </c>
      <c r="E14" t="s">
        <v>627</v>
      </c>
      <c r="F14">
        <v>25000</v>
      </c>
      <c r="H14" t="s">
        <v>513</v>
      </c>
      <c r="I14" t="s">
        <v>27</v>
      </c>
    </row>
    <row r="15" spans="1:9" x14ac:dyDescent="0.2">
      <c r="A15" t="s">
        <v>22</v>
      </c>
      <c r="B15" t="s">
        <v>628</v>
      </c>
      <c r="C15" t="s">
        <v>629</v>
      </c>
      <c r="D15" t="s">
        <v>630</v>
      </c>
      <c r="E15" t="s">
        <v>631</v>
      </c>
      <c r="F15">
        <v>14000</v>
      </c>
      <c r="H15" t="s">
        <v>513</v>
      </c>
      <c r="I15" t="s">
        <v>27</v>
      </c>
    </row>
    <row r="16" spans="1:9" x14ac:dyDescent="0.2">
      <c r="A16" t="s">
        <v>22</v>
      </c>
      <c r="B16" t="s">
        <v>632</v>
      </c>
      <c r="C16" t="s">
        <v>633</v>
      </c>
      <c r="D16" t="s">
        <v>634</v>
      </c>
      <c r="E16" t="s">
        <v>635</v>
      </c>
      <c r="F16">
        <v>35000</v>
      </c>
      <c r="H16" t="s">
        <v>513</v>
      </c>
      <c r="I16" t="s">
        <v>27</v>
      </c>
    </row>
    <row r="17" spans="1:9" x14ac:dyDescent="0.2">
      <c r="A17" t="s">
        <v>23</v>
      </c>
      <c r="B17" t="s">
        <v>384</v>
      </c>
      <c r="C17" t="s">
        <v>385</v>
      </c>
      <c r="D17" t="s">
        <v>386</v>
      </c>
      <c r="E17" t="s">
        <v>411</v>
      </c>
      <c r="F17">
        <v>250</v>
      </c>
      <c r="G17">
        <v>3000</v>
      </c>
      <c r="H17" t="s">
        <v>514</v>
      </c>
      <c r="I17" t="s">
        <v>28</v>
      </c>
    </row>
    <row r="18" spans="1:9" x14ac:dyDescent="0.2">
      <c r="A18" t="s">
        <v>23</v>
      </c>
      <c r="B18" t="s">
        <v>387</v>
      </c>
      <c r="C18" t="s">
        <v>388</v>
      </c>
      <c r="D18" t="s">
        <v>644</v>
      </c>
      <c r="E18" t="s">
        <v>412</v>
      </c>
      <c r="F18">
        <v>125</v>
      </c>
      <c r="G18">
        <v>1500</v>
      </c>
      <c r="H18" t="s">
        <v>514</v>
      </c>
      <c r="I18" t="s">
        <v>28</v>
      </c>
    </row>
    <row r="19" spans="1:9" x14ac:dyDescent="0.2">
      <c r="A19" t="s">
        <v>23</v>
      </c>
      <c r="B19" t="s">
        <v>623</v>
      </c>
      <c r="C19" t="s">
        <v>390</v>
      </c>
      <c r="D19" t="s">
        <v>391</v>
      </c>
      <c r="E19" t="s">
        <v>413</v>
      </c>
      <c r="F19">
        <v>170</v>
      </c>
      <c r="G19">
        <v>2040</v>
      </c>
      <c r="H19" t="s">
        <v>514</v>
      </c>
      <c r="I19" t="s">
        <v>28</v>
      </c>
    </row>
    <row r="20" spans="1:9" x14ac:dyDescent="0.2">
      <c r="A20" t="s">
        <v>23</v>
      </c>
      <c r="B20" t="s">
        <v>392</v>
      </c>
      <c r="C20" t="s">
        <v>393</v>
      </c>
      <c r="D20" t="s">
        <v>394</v>
      </c>
      <c r="E20" t="s">
        <v>414</v>
      </c>
      <c r="F20">
        <v>350</v>
      </c>
      <c r="G20">
        <v>4200</v>
      </c>
      <c r="H20" t="s">
        <v>514</v>
      </c>
      <c r="I20" t="s">
        <v>28</v>
      </c>
    </row>
    <row r="21" spans="1:9" x14ac:dyDescent="0.2">
      <c r="A21" t="s">
        <v>23</v>
      </c>
      <c r="B21" t="s">
        <v>636</v>
      </c>
      <c r="C21" t="s">
        <v>637</v>
      </c>
      <c r="D21" t="s">
        <v>638</v>
      </c>
      <c r="E21" t="s">
        <v>639</v>
      </c>
      <c r="F21">
        <v>250</v>
      </c>
      <c r="G21">
        <v>3000</v>
      </c>
      <c r="H21" t="s">
        <v>514</v>
      </c>
      <c r="I21" t="s">
        <v>28</v>
      </c>
    </row>
    <row r="22" spans="1:9" x14ac:dyDescent="0.2">
      <c r="A22" t="s">
        <v>603</v>
      </c>
      <c r="B22" t="s">
        <v>605</v>
      </c>
      <c r="C22" t="s">
        <v>612</v>
      </c>
      <c r="D22" t="s">
        <v>613</v>
      </c>
      <c r="E22" t="s">
        <v>614</v>
      </c>
      <c r="F22">
        <v>471.917682972477</v>
      </c>
      <c r="G22">
        <v>5663.0121956697303</v>
      </c>
      <c r="H22" t="s">
        <v>514</v>
      </c>
      <c r="I22" t="s">
        <v>28</v>
      </c>
    </row>
    <row r="23" spans="1:9" x14ac:dyDescent="0.2">
      <c r="A23" t="s">
        <v>603</v>
      </c>
      <c r="B23" t="s">
        <v>606</v>
      </c>
      <c r="C23" t="s">
        <v>615</v>
      </c>
      <c r="D23" t="s">
        <v>616</v>
      </c>
      <c r="E23" t="s">
        <v>614</v>
      </c>
      <c r="F23">
        <v>2827.6354166666702</v>
      </c>
      <c r="G23">
        <v>33931.625</v>
      </c>
      <c r="H23" t="s">
        <v>514</v>
      </c>
      <c r="I23" t="s">
        <v>28</v>
      </c>
    </row>
    <row r="24" spans="1:9" x14ac:dyDescent="0.2">
      <c r="A24" t="s">
        <v>603</v>
      </c>
      <c r="B24" t="s">
        <v>604</v>
      </c>
      <c r="C24" t="s">
        <v>617</v>
      </c>
      <c r="D24" t="s">
        <v>618</v>
      </c>
      <c r="E24" t="s">
        <v>619</v>
      </c>
      <c r="F24">
        <v>217.510416666667</v>
      </c>
      <c r="G24">
        <v>2610.125</v>
      </c>
      <c r="H24" t="s">
        <v>514</v>
      </c>
      <c r="I24" t="s">
        <v>28</v>
      </c>
    </row>
    <row r="25" spans="1:9" x14ac:dyDescent="0.2">
      <c r="A25" t="s">
        <v>603</v>
      </c>
      <c r="B25" t="s">
        <v>640</v>
      </c>
      <c r="C25" t="s">
        <v>641</v>
      </c>
      <c r="D25" t="s">
        <v>642</v>
      </c>
      <c r="E25" t="s">
        <v>643</v>
      </c>
      <c r="F25">
        <v>16485</v>
      </c>
      <c r="H25" t="s">
        <v>513</v>
      </c>
      <c r="I25" t="s">
        <v>27</v>
      </c>
    </row>
    <row r="35" ht="15" customHeight="1" x14ac:dyDescent="0.2"/>
  </sheetData>
  <phoneticPr fontId="2" type="noConversion"/>
  <pageMargins left="0.25" right="0.25" top="0.75" bottom="0.75" header="0.3" footer="0.3"/>
  <pageSetup scale="44" fitToHeight="0" orientation="landscape"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BCF70-2F98-194A-8A88-5565F7BBDABE}">
  <sheetPr>
    <pageSetUpPr fitToPage="1"/>
  </sheetPr>
  <dimension ref="A1:L29"/>
  <sheetViews>
    <sheetView showGridLines="0" zoomScale="90" zoomScaleNormal="90" workbookViewId="0">
      <selection sqref="A1:A1048576"/>
    </sheetView>
  </sheetViews>
  <sheetFormatPr baseColWidth="10" defaultRowHeight="16" x14ac:dyDescent="0.2"/>
  <cols>
    <col min="1" max="1" width="19.83203125" bestFit="1" customWidth="1"/>
    <col min="2" max="2" width="21.1640625" customWidth="1"/>
    <col min="3" max="3" width="18" customWidth="1"/>
    <col min="4" max="4" width="57.6640625" bestFit="1" customWidth="1"/>
    <col min="5" max="5" width="13.6640625" customWidth="1"/>
    <col min="11" max="11" width="98.5" bestFit="1" customWidth="1"/>
  </cols>
  <sheetData>
    <row r="1" spans="1:12" x14ac:dyDescent="0.2">
      <c r="A1" t="s">
        <v>196</v>
      </c>
      <c r="B1" t="s">
        <v>267</v>
      </c>
      <c r="C1" t="s">
        <v>210</v>
      </c>
      <c r="D1" t="s">
        <v>109</v>
      </c>
      <c r="E1" t="s">
        <v>688</v>
      </c>
      <c r="F1" t="s">
        <v>415</v>
      </c>
      <c r="G1" t="s">
        <v>417</v>
      </c>
      <c r="H1" t="s">
        <v>512</v>
      </c>
      <c r="I1" t="s">
        <v>416</v>
      </c>
      <c r="J1" t="s">
        <v>516</v>
      </c>
      <c r="K1" t="s">
        <v>26</v>
      </c>
      <c r="L1" t="s">
        <v>517</v>
      </c>
    </row>
    <row r="2" spans="1:12" x14ac:dyDescent="0.2">
      <c r="A2" t="s">
        <v>211</v>
      </c>
      <c r="B2" t="s">
        <v>363</v>
      </c>
      <c r="C2" t="s">
        <v>418</v>
      </c>
      <c r="D2" t="s">
        <v>192</v>
      </c>
      <c r="E2">
        <v>30000</v>
      </c>
      <c r="F2" t="s">
        <v>22</v>
      </c>
      <c r="G2" t="s">
        <v>27</v>
      </c>
      <c r="H2" t="s">
        <v>513</v>
      </c>
      <c r="I2" t="s">
        <v>419</v>
      </c>
      <c r="J2" t="s">
        <v>398</v>
      </c>
      <c r="K2" t="s">
        <v>486</v>
      </c>
    </row>
    <row r="3" spans="1:12" x14ac:dyDescent="0.2">
      <c r="A3" t="s">
        <v>212</v>
      </c>
      <c r="B3" t="s">
        <v>368</v>
      </c>
      <c r="C3" t="s">
        <v>381</v>
      </c>
      <c r="D3" t="s">
        <v>110</v>
      </c>
      <c r="E3">
        <v>10000</v>
      </c>
      <c r="F3" t="s">
        <v>22</v>
      </c>
      <c r="G3" t="s">
        <v>27</v>
      </c>
      <c r="H3" t="s">
        <v>513</v>
      </c>
      <c r="I3" t="s">
        <v>420</v>
      </c>
      <c r="J3" t="s">
        <v>398</v>
      </c>
      <c r="K3" t="s">
        <v>111</v>
      </c>
    </row>
    <row r="4" spans="1:12" x14ac:dyDescent="0.2">
      <c r="A4" t="s">
        <v>213</v>
      </c>
      <c r="B4" t="s">
        <v>400</v>
      </c>
      <c r="C4" t="s">
        <v>194</v>
      </c>
      <c r="D4" t="s">
        <v>114</v>
      </c>
      <c r="E4">
        <v>5000</v>
      </c>
      <c r="F4" t="s">
        <v>22</v>
      </c>
      <c r="G4" t="s">
        <v>27</v>
      </c>
      <c r="H4" t="s">
        <v>513</v>
      </c>
      <c r="I4" t="s">
        <v>419</v>
      </c>
      <c r="J4" t="s">
        <v>398</v>
      </c>
      <c r="K4" t="s">
        <v>115</v>
      </c>
    </row>
    <row r="5" spans="1:12" x14ac:dyDescent="0.2">
      <c r="A5" t="s">
        <v>214</v>
      </c>
      <c r="B5" t="s">
        <v>403</v>
      </c>
      <c r="C5" t="s">
        <v>193</v>
      </c>
      <c r="D5" t="s">
        <v>112</v>
      </c>
      <c r="E5">
        <v>10000</v>
      </c>
      <c r="F5" t="s">
        <v>22</v>
      </c>
      <c r="G5" t="s">
        <v>27</v>
      </c>
      <c r="H5" t="s">
        <v>513</v>
      </c>
      <c r="I5" t="s">
        <v>419</v>
      </c>
      <c r="J5" t="s">
        <v>398</v>
      </c>
      <c r="K5" t="s">
        <v>113</v>
      </c>
    </row>
    <row r="6" spans="1:12" x14ac:dyDescent="0.2">
      <c r="A6" t="s">
        <v>215</v>
      </c>
      <c r="B6" t="s">
        <v>193</v>
      </c>
      <c r="D6" t="s">
        <v>118</v>
      </c>
      <c r="E6">
        <v>500</v>
      </c>
      <c r="F6" t="s">
        <v>22</v>
      </c>
      <c r="G6" t="s">
        <v>27</v>
      </c>
      <c r="H6" t="s">
        <v>513</v>
      </c>
      <c r="I6" t="s">
        <v>419</v>
      </c>
      <c r="J6" t="s">
        <v>398</v>
      </c>
      <c r="K6" t="s">
        <v>119</v>
      </c>
    </row>
    <row r="7" spans="1:12" x14ac:dyDescent="0.2">
      <c r="A7" t="s">
        <v>362</v>
      </c>
      <c r="B7" t="s">
        <v>193</v>
      </c>
      <c r="C7" t="s">
        <v>363</v>
      </c>
      <c r="D7" t="s">
        <v>197</v>
      </c>
      <c r="E7">
        <v>20000</v>
      </c>
      <c r="F7" t="s">
        <v>22</v>
      </c>
      <c r="G7" t="s">
        <v>27</v>
      </c>
      <c r="H7" t="s">
        <v>513</v>
      </c>
      <c r="I7" t="s">
        <v>419</v>
      </c>
      <c r="J7" t="s">
        <v>398</v>
      </c>
      <c r="K7" t="s">
        <v>205</v>
      </c>
    </row>
    <row r="8" spans="1:12" x14ac:dyDescent="0.2">
      <c r="A8" t="s">
        <v>216</v>
      </c>
      <c r="B8" t="s">
        <v>193</v>
      </c>
      <c r="C8" t="s">
        <v>403</v>
      </c>
      <c r="D8" t="s">
        <v>198</v>
      </c>
      <c r="E8">
        <v>10000</v>
      </c>
      <c r="F8" t="s">
        <v>22</v>
      </c>
      <c r="G8" t="s">
        <v>27</v>
      </c>
      <c r="H8" t="s">
        <v>513</v>
      </c>
      <c r="I8" t="s">
        <v>420</v>
      </c>
      <c r="J8" t="s">
        <v>398</v>
      </c>
      <c r="K8" t="s">
        <v>206</v>
      </c>
    </row>
    <row r="9" spans="1:12" x14ac:dyDescent="0.2">
      <c r="A9" t="s">
        <v>217</v>
      </c>
      <c r="B9" t="s">
        <v>193</v>
      </c>
      <c r="C9" t="s">
        <v>363</v>
      </c>
      <c r="D9" t="s">
        <v>116</v>
      </c>
      <c r="E9">
        <v>15000</v>
      </c>
      <c r="F9" t="s">
        <v>22</v>
      </c>
      <c r="G9" t="s">
        <v>27</v>
      </c>
      <c r="H9" t="s">
        <v>513</v>
      </c>
      <c r="I9" t="s">
        <v>419</v>
      </c>
      <c r="J9" t="s">
        <v>398</v>
      </c>
      <c r="K9" t="s">
        <v>117</v>
      </c>
    </row>
    <row r="10" spans="1:12" x14ac:dyDescent="0.2">
      <c r="A10" t="s">
        <v>218</v>
      </c>
      <c r="B10" t="s">
        <v>194</v>
      </c>
      <c r="C10" t="s">
        <v>368</v>
      </c>
      <c r="D10" t="s">
        <v>203</v>
      </c>
      <c r="E10">
        <v>15000</v>
      </c>
      <c r="F10" t="s">
        <v>22</v>
      </c>
      <c r="G10" t="s">
        <v>27</v>
      </c>
      <c r="H10" t="s">
        <v>513</v>
      </c>
      <c r="I10" t="s">
        <v>419</v>
      </c>
      <c r="J10" t="s">
        <v>398</v>
      </c>
      <c r="K10" t="s">
        <v>204</v>
      </c>
    </row>
    <row r="11" spans="1:12" x14ac:dyDescent="0.2">
      <c r="A11" t="s">
        <v>421</v>
      </c>
      <c r="B11" t="s">
        <v>194</v>
      </c>
      <c r="C11" t="s">
        <v>368</v>
      </c>
      <c r="D11" t="s">
        <v>201</v>
      </c>
      <c r="E11">
        <v>10000</v>
      </c>
      <c r="F11" t="s">
        <v>22</v>
      </c>
      <c r="G11" t="s">
        <v>27</v>
      </c>
      <c r="H11" t="s">
        <v>513</v>
      </c>
      <c r="I11" t="s">
        <v>419</v>
      </c>
      <c r="J11" t="s">
        <v>398</v>
      </c>
      <c r="K11" t="s">
        <v>202</v>
      </c>
    </row>
    <row r="12" spans="1:12" x14ac:dyDescent="0.2">
      <c r="A12" t="s">
        <v>219</v>
      </c>
      <c r="B12" t="s">
        <v>194</v>
      </c>
      <c r="C12" t="s">
        <v>373</v>
      </c>
      <c r="D12" t="s">
        <v>199</v>
      </c>
      <c r="E12">
        <v>8000</v>
      </c>
      <c r="F12" t="s">
        <v>22</v>
      </c>
      <c r="G12" t="s">
        <v>27</v>
      </c>
      <c r="H12" t="s">
        <v>513</v>
      </c>
      <c r="I12" t="s">
        <v>422</v>
      </c>
      <c r="J12" t="s">
        <v>398</v>
      </c>
      <c r="K12" t="s">
        <v>200</v>
      </c>
    </row>
    <row r="13" spans="1:12" x14ac:dyDescent="0.2">
      <c r="A13" t="s">
        <v>220</v>
      </c>
      <c r="B13" t="s">
        <v>395</v>
      </c>
      <c r="C13" t="s">
        <v>396</v>
      </c>
      <c r="D13" t="s">
        <v>124</v>
      </c>
      <c r="E13">
        <v>15000</v>
      </c>
      <c r="F13" t="s">
        <v>22</v>
      </c>
      <c r="G13" t="s">
        <v>27</v>
      </c>
      <c r="H13" t="s">
        <v>513</v>
      </c>
      <c r="I13" t="s">
        <v>420</v>
      </c>
      <c r="J13" t="s">
        <v>398</v>
      </c>
      <c r="K13" t="s">
        <v>561</v>
      </c>
    </row>
    <row r="14" spans="1:12" x14ac:dyDescent="0.2">
      <c r="A14" t="s">
        <v>221</v>
      </c>
      <c r="B14" t="s">
        <v>373</v>
      </c>
      <c r="C14" t="s">
        <v>375</v>
      </c>
      <c r="D14" t="s">
        <v>122</v>
      </c>
      <c r="E14">
        <v>8000</v>
      </c>
      <c r="F14" t="s">
        <v>22</v>
      </c>
      <c r="G14" t="s">
        <v>27</v>
      </c>
      <c r="H14" t="s">
        <v>513</v>
      </c>
      <c r="I14" t="s">
        <v>420</v>
      </c>
      <c r="J14" t="s">
        <v>398</v>
      </c>
      <c r="K14" t="s">
        <v>123</v>
      </c>
    </row>
    <row r="15" spans="1:12" x14ac:dyDescent="0.2">
      <c r="A15" t="s">
        <v>222</v>
      </c>
      <c r="B15" t="s">
        <v>373</v>
      </c>
      <c r="C15" t="s">
        <v>193</v>
      </c>
      <c r="D15" t="s">
        <v>120</v>
      </c>
      <c r="E15">
        <v>25000</v>
      </c>
      <c r="F15" t="s">
        <v>22</v>
      </c>
      <c r="G15" t="s">
        <v>27</v>
      </c>
      <c r="H15" t="s">
        <v>513</v>
      </c>
      <c r="I15" t="s">
        <v>420</v>
      </c>
      <c r="J15" t="s">
        <v>398</v>
      </c>
      <c r="K15" t="s">
        <v>121</v>
      </c>
    </row>
    <row r="16" spans="1:12" x14ac:dyDescent="0.2">
      <c r="A16" t="s">
        <v>423</v>
      </c>
      <c r="B16" t="s">
        <v>381</v>
      </c>
      <c r="C16" t="s">
        <v>368</v>
      </c>
      <c r="D16" t="s">
        <v>125</v>
      </c>
      <c r="E16">
        <v>15000</v>
      </c>
      <c r="F16" t="s">
        <v>22</v>
      </c>
      <c r="G16" t="s">
        <v>27</v>
      </c>
      <c r="H16" t="s">
        <v>513</v>
      </c>
      <c r="I16" t="s">
        <v>420</v>
      </c>
      <c r="J16" t="s">
        <v>398</v>
      </c>
      <c r="K16" t="s">
        <v>126</v>
      </c>
    </row>
    <row r="17" spans="1:12" x14ac:dyDescent="0.2">
      <c r="A17" t="s">
        <v>223</v>
      </c>
      <c r="B17" t="s">
        <v>381</v>
      </c>
      <c r="C17" t="s">
        <v>383</v>
      </c>
      <c r="D17" t="s">
        <v>127</v>
      </c>
      <c r="E17">
        <v>8000</v>
      </c>
      <c r="F17" t="s">
        <v>22</v>
      </c>
      <c r="G17" t="s">
        <v>27</v>
      </c>
      <c r="H17" t="s">
        <v>513</v>
      </c>
      <c r="I17" t="s">
        <v>420</v>
      </c>
      <c r="J17" t="s">
        <v>398</v>
      </c>
      <c r="K17" t="s">
        <v>128</v>
      </c>
    </row>
    <row r="18" spans="1:12" x14ac:dyDescent="0.2">
      <c r="A18" t="s">
        <v>224</v>
      </c>
      <c r="B18" t="s">
        <v>392</v>
      </c>
      <c r="D18" t="s">
        <v>207</v>
      </c>
      <c r="E18">
        <v>5000</v>
      </c>
      <c r="F18" t="s">
        <v>23</v>
      </c>
      <c r="G18" t="s">
        <v>515</v>
      </c>
      <c r="H18" t="s">
        <v>556</v>
      </c>
      <c r="I18" t="s">
        <v>419</v>
      </c>
      <c r="J18" t="s">
        <v>398</v>
      </c>
      <c r="K18" t="s">
        <v>208</v>
      </c>
    </row>
    <row r="19" spans="1:12" x14ac:dyDescent="0.2">
      <c r="A19" t="s">
        <v>225</v>
      </c>
      <c r="B19" t="s">
        <v>389</v>
      </c>
      <c r="C19" t="s">
        <v>511</v>
      </c>
      <c r="D19" t="s">
        <v>209</v>
      </c>
      <c r="E19">
        <v>10000</v>
      </c>
      <c r="F19" t="s">
        <v>420</v>
      </c>
      <c r="G19" t="s">
        <v>424</v>
      </c>
      <c r="H19" t="s">
        <v>557</v>
      </c>
      <c r="I19" t="s">
        <v>420</v>
      </c>
      <c r="J19" t="s">
        <v>398</v>
      </c>
      <c r="K19" t="s">
        <v>558</v>
      </c>
    </row>
    <row r="20" spans="1:12" x14ac:dyDescent="0.2">
      <c r="A20" t="s">
        <v>227</v>
      </c>
      <c r="B20" t="s">
        <v>384</v>
      </c>
      <c r="C20" t="s">
        <v>387</v>
      </c>
      <c r="D20" t="s">
        <v>129</v>
      </c>
      <c r="E20">
        <v>70</v>
      </c>
      <c r="F20" t="s">
        <v>23</v>
      </c>
      <c r="G20" t="s">
        <v>28</v>
      </c>
      <c r="H20" t="s">
        <v>514</v>
      </c>
      <c r="I20" t="s">
        <v>420</v>
      </c>
      <c r="J20" t="s">
        <v>399</v>
      </c>
      <c r="K20" t="s">
        <v>559</v>
      </c>
      <c r="L20" t="s">
        <v>518</v>
      </c>
    </row>
    <row r="21" spans="1:12" x14ac:dyDescent="0.2">
      <c r="A21" t="s">
        <v>226</v>
      </c>
      <c r="B21" t="s">
        <v>387</v>
      </c>
      <c r="C21" t="s">
        <v>373</v>
      </c>
      <c r="D21" t="s">
        <v>130</v>
      </c>
      <c r="E21">
        <v>50</v>
      </c>
      <c r="F21" t="s">
        <v>23</v>
      </c>
      <c r="G21" t="s">
        <v>28</v>
      </c>
      <c r="H21" t="s">
        <v>514</v>
      </c>
      <c r="I21" t="s">
        <v>422</v>
      </c>
      <c r="J21" t="s">
        <v>399</v>
      </c>
      <c r="K21" t="s">
        <v>560</v>
      </c>
      <c r="L21" t="s">
        <v>518</v>
      </c>
    </row>
    <row r="22" spans="1:12" x14ac:dyDescent="0.2">
      <c r="A22" t="s">
        <v>487</v>
      </c>
      <c r="B22" t="s">
        <v>389</v>
      </c>
      <c r="C22" t="s">
        <v>381</v>
      </c>
      <c r="D22" t="s">
        <v>131</v>
      </c>
      <c r="E22">
        <v>30</v>
      </c>
      <c r="F22" t="s">
        <v>23</v>
      </c>
      <c r="G22" t="s">
        <v>28</v>
      </c>
      <c r="H22" t="s">
        <v>514</v>
      </c>
      <c r="I22" t="s">
        <v>420</v>
      </c>
      <c r="J22" t="s">
        <v>398</v>
      </c>
      <c r="K22" t="s">
        <v>488</v>
      </c>
    </row>
    <row r="23" spans="1:12" x14ac:dyDescent="0.2">
      <c r="A23" t="s">
        <v>671</v>
      </c>
      <c r="B23" t="s">
        <v>606</v>
      </c>
      <c r="C23" t="s">
        <v>605</v>
      </c>
      <c r="D23" t="s">
        <v>672</v>
      </c>
      <c r="E23">
        <v>50</v>
      </c>
      <c r="F23" t="s">
        <v>603</v>
      </c>
      <c r="G23" t="s">
        <v>28</v>
      </c>
      <c r="H23" t="s">
        <v>514</v>
      </c>
      <c r="I23" t="s">
        <v>420</v>
      </c>
      <c r="J23" t="s">
        <v>398</v>
      </c>
      <c r="K23" t="s">
        <v>673</v>
      </c>
    </row>
    <row r="29" spans="1:12" x14ac:dyDescent="0.2">
      <c r="A29" s="2"/>
      <c r="B29" s="2"/>
      <c r="C29" s="2"/>
      <c r="D29" s="2"/>
      <c r="E29" s="2"/>
      <c r="K29" s="2"/>
    </row>
  </sheetData>
  <pageMargins left="0.25" right="0.25" top="0.75" bottom="0.75" header="0.3" footer="0.3"/>
  <pageSetup scale="41" fitToHeight="0" orientation="landscape" horizontalDpi="0" verticalDpi="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3610B-BEE1-0740-9A70-30A5FAD4BDEA}">
  <sheetPr>
    <pageSetUpPr fitToPage="1"/>
  </sheetPr>
  <dimension ref="A1:L72"/>
  <sheetViews>
    <sheetView showGridLines="0" topLeftCell="A45" workbookViewId="0">
      <selection sqref="A1:A1048576"/>
    </sheetView>
  </sheetViews>
  <sheetFormatPr baseColWidth="10" defaultRowHeight="16" x14ac:dyDescent="0.2"/>
  <cols>
    <col min="1" max="1" width="49.33203125" bestFit="1" customWidth="1"/>
    <col min="2" max="2" width="58.83203125" bestFit="1" customWidth="1"/>
    <col min="3" max="5" width="30.83203125" customWidth="1"/>
    <col min="6" max="6" width="47" bestFit="1" customWidth="1"/>
    <col min="7" max="7" width="27.1640625" bestFit="1" customWidth="1"/>
    <col min="8" max="8" width="50.83203125" bestFit="1" customWidth="1"/>
    <col min="9" max="9" width="19.6640625" bestFit="1" customWidth="1"/>
    <col min="10" max="10" width="32" bestFit="1" customWidth="1"/>
    <col min="11" max="11" width="15.83203125" bestFit="1" customWidth="1"/>
    <col min="12" max="12" width="11.33203125" customWidth="1"/>
  </cols>
  <sheetData>
    <row r="1" spans="1:12" x14ac:dyDescent="0.2">
      <c r="A1" t="s">
        <v>689</v>
      </c>
      <c r="B1" t="s">
        <v>987</v>
      </c>
      <c r="C1" t="s">
        <v>337</v>
      </c>
      <c r="D1" t="s">
        <v>335</v>
      </c>
      <c r="E1" t="s">
        <v>336</v>
      </c>
      <c r="F1" t="s">
        <v>988</v>
      </c>
      <c r="G1" t="s">
        <v>989</v>
      </c>
      <c r="H1" t="s">
        <v>0</v>
      </c>
      <c r="I1" t="s">
        <v>990</v>
      </c>
      <c r="J1" t="s">
        <v>132</v>
      </c>
      <c r="K1" t="s">
        <v>991</v>
      </c>
      <c r="L1" t="s">
        <v>482</v>
      </c>
    </row>
    <row r="2" spans="1:12" x14ac:dyDescent="0.2">
      <c r="A2" t="s">
        <v>211</v>
      </c>
      <c r="B2" t="s">
        <v>33</v>
      </c>
      <c r="C2" t="s">
        <v>270</v>
      </c>
      <c r="D2" t="s">
        <v>338</v>
      </c>
      <c r="E2" t="s">
        <v>339</v>
      </c>
      <c r="F2" t="s">
        <v>897</v>
      </c>
      <c r="G2" t="s">
        <v>426</v>
      </c>
      <c r="H2" t="s">
        <v>34</v>
      </c>
      <c r="I2" t="s">
        <v>425</v>
      </c>
      <c r="J2" t="s">
        <v>35</v>
      </c>
      <c r="K2" t="s">
        <v>427</v>
      </c>
      <c r="L2" t="s">
        <v>1</v>
      </c>
    </row>
    <row r="3" spans="1:12" x14ac:dyDescent="0.2">
      <c r="A3" t="s">
        <v>211</v>
      </c>
      <c r="B3" t="s">
        <v>29</v>
      </c>
      <c r="C3" t="s">
        <v>268</v>
      </c>
      <c r="D3" t="s">
        <v>338</v>
      </c>
      <c r="E3" t="s">
        <v>340</v>
      </c>
      <c r="F3" t="s">
        <v>898</v>
      </c>
      <c r="G3" t="s">
        <v>426</v>
      </c>
      <c r="H3" t="s">
        <v>30</v>
      </c>
      <c r="I3" t="s">
        <v>425</v>
      </c>
      <c r="J3" t="s">
        <v>31</v>
      </c>
      <c r="K3" t="s">
        <v>427</v>
      </c>
      <c r="L3" t="s">
        <v>1</v>
      </c>
    </row>
    <row r="4" spans="1:12" x14ac:dyDescent="0.2">
      <c r="A4" t="s">
        <v>211</v>
      </c>
      <c r="B4" t="s">
        <v>39</v>
      </c>
      <c r="C4" t="s">
        <v>272</v>
      </c>
      <c r="D4" t="s">
        <v>341</v>
      </c>
      <c r="E4" t="s">
        <v>340</v>
      </c>
      <c r="F4" t="s">
        <v>899</v>
      </c>
      <c r="G4" t="s">
        <v>426</v>
      </c>
      <c r="H4" t="s">
        <v>40</v>
      </c>
      <c r="I4" t="s">
        <v>425</v>
      </c>
      <c r="J4" t="s">
        <v>41</v>
      </c>
      <c r="K4" t="s">
        <v>428</v>
      </c>
      <c r="L4" t="s">
        <v>4</v>
      </c>
    </row>
    <row r="5" spans="1:12" x14ac:dyDescent="0.2">
      <c r="A5" t="s">
        <v>211</v>
      </c>
      <c r="B5" t="s">
        <v>32</v>
      </c>
      <c r="C5" t="s">
        <v>269</v>
      </c>
      <c r="D5" t="s">
        <v>338</v>
      </c>
      <c r="E5" t="s">
        <v>340</v>
      </c>
      <c r="F5" t="s">
        <v>900</v>
      </c>
      <c r="G5" t="s">
        <v>426</v>
      </c>
      <c r="H5" t="s">
        <v>2</v>
      </c>
      <c r="I5" t="s">
        <v>425</v>
      </c>
      <c r="J5" t="s">
        <v>3</v>
      </c>
      <c r="K5" t="s">
        <v>427</v>
      </c>
      <c r="L5" t="s">
        <v>1</v>
      </c>
    </row>
    <row r="6" spans="1:12" x14ac:dyDescent="0.2">
      <c r="A6" s="3" t="s">
        <v>211</v>
      </c>
      <c r="B6" s="1" t="s">
        <v>36</v>
      </c>
      <c r="C6" s="1" t="s">
        <v>271</v>
      </c>
      <c r="D6" s="1" t="s">
        <v>338</v>
      </c>
      <c r="E6" s="1" t="s">
        <v>340</v>
      </c>
      <c r="F6" s="3" t="s">
        <v>901</v>
      </c>
      <c r="G6" s="4" t="s">
        <v>426</v>
      </c>
      <c r="H6" s="1" t="s">
        <v>37</v>
      </c>
      <c r="I6" s="4" t="s">
        <v>425</v>
      </c>
      <c r="J6" s="1" t="s">
        <v>38</v>
      </c>
      <c r="K6" s="4" t="s">
        <v>427</v>
      </c>
      <c r="L6" s="1" t="s">
        <v>9</v>
      </c>
    </row>
    <row r="7" spans="1:12" x14ac:dyDescent="0.2">
      <c r="A7" s="3" t="s">
        <v>226</v>
      </c>
      <c r="B7" s="1" t="s">
        <v>173</v>
      </c>
      <c r="C7" s="1" t="s">
        <v>311</v>
      </c>
      <c r="D7" s="1" t="s">
        <v>342</v>
      </c>
      <c r="E7" s="1" t="s">
        <v>562</v>
      </c>
      <c r="F7" s="3" t="s">
        <v>902</v>
      </c>
      <c r="G7" s="4" t="s">
        <v>430</v>
      </c>
      <c r="H7" s="1" t="s">
        <v>519</v>
      </c>
      <c r="I7" s="4" t="s">
        <v>429</v>
      </c>
      <c r="J7" s="1" t="s">
        <v>102</v>
      </c>
      <c r="K7" s="4" t="s">
        <v>427</v>
      </c>
      <c r="L7" s="1" t="s">
        <v>18</v>
      </c>
    </row>
    <row r="8" spans="1:12" x14ac:dyDescent="0.2">
      <c r="A8" s="3" t="s">
        <v>226</v>
      </c>
      <c r="B8" s="1" t="s">
        <v>101</v>
      </c>
      <c r="C8" s="1" t="s">
        <v>314</v>
      </c>
      <c r="D8" s="1" t="s">
        <v>342</v>
      </c>
      <c r="E8" s="1" t="s">
        <v>562</v>
      </c>
      <c r="F8" s="3" t="s">
        <v>903</v>
      </c>
      <c r="G8" s="4" t="s">
        <v>430</v>
      </c>
      <c r="H8" s="1" t="s">
        <v>520</v>
      </c>
      <c r="I8" s="4" t="s">
        <v>429</v>
      </c>
      <c r="J8" s="1" t="s">
        <v>102</v>
      </c>
      <c r="K8" s="4" t="s">
        <v>427</v>
      </c>
      <c r="L8" s="1" t="s">
        <v>18</v>
      </c>
    </row>
    <row r="9" spans="1:12" x14ac:dyDescent="0.2">
      <c r="A9" s="3" t="s">
        <v>226</v>
      </c>
      <c r="B9" s="1" t="s">
        <v>174</v>
      </c>
      <c r="C9" s="1" t="s">
        <v>312</v>
      </c>
      <c r="D9" s="1" t="s">
        <v>338</v>
      </c>
      <c r="E9" s="1" t="s">
        <v>344</v>
      </c>
      <c r="F9" s="3" t="s">
        <v>904</v>
      </c>
      <c r="G9" s="2" t="s">
        <v>431</v>
      </c>
      <c r="H9" s="1" t="s">
        <v>175</v>
      </c>
      <c r="I9" s="5" t="s">
        <v>491</v>
      </c>
      <c r="J9" s="1" t="s">
        <v>77</v>
      </c>
      <c r="K9" s="2" t="s">
        <v>428</v>
      </c>
      <c r="L9" s="1" t="s">
        <v>18</v>
      </c>
    </row>
    <row r="10" spans="1:12" x14ac:dyDescent="0.2">
      <c r="A10" s="3" t="s">
        <v>226</v>
      </c>
      <c r="B10" s="1" t="s">
        <v>176</v>
      </c>
      <c r="C10" s="1" t="s">
        <v>313</v>
      </c>
      <c r="D10" s="1" t="s">
        <v>342</v>
      </c>
      <c r="E10" s="1" t="s">
        <v>340</v>
      </c>
      <c r="F10" s="3" t="s">
        <v>905</v>
      </c>
      <c r="G10" s="2" t="s">
        <v>433</v>
      </c>
      <c r="H10" s="1" t="s">
        <v>177</v>
      </c>
      <c r="I10" s="5" t="s">
        <v>432</v>
      </c>
      <c r="J10" s="1" t="s">
        <v>178</v>
      </c>
      <c r="K10" s="2" t="s">
        <v>434</v>
      </c>
      <c r="L10" s="1" t="s">
        <v>179</v>
      </c>
    </row>
    <row r="11" spans="1:12" x14ac:dyDescent="0.2">
      <c r="A11" s="3" t="s">
        <v>212</v>
      </c>
      <c r="B11" s="1" t="s">
        <v>359</v>
      </c>
      <c r="C11" s="1" t="s">
        <v>302</v>
      </c>
      <c r="D11" s="1" t="s">
        <v>338</v>
      </c>
      <c r="E11" s="1" t="s">
        <v>340</v>
      </c>
      <c r="F11" s="3" t="s">
        <v>906</v>
      </c>
      <c r="G11" s="2" t="s">
        <v>435</v>
      </c>
      <c r="H11" s="1" t="s">
        <v>87</v>
      </c>
      <c r="I11" s="5" t="s">
        <v>432</v>
      </c>
      <c r="J11" s="1" t="s">
        <v>88</v>
      </c>
      <c r="K11" s="2" t="s">
        <v>434</v>
      </c>
      <c r="L11" s="1" t="s">
        <v>8</v>
      </c>
    </row>
    <row r="12" spans="1:12" x14ac:dyDescent="0.2">
      <c r="A12" s="3" t="s">
        <v>212</v>
      </c>
      <c r="B12" s="1" t="s">
        <v>228</v>
      </c>
      <c r="C12" s="1" t="s">
        <v>315</v>
      </c>
      <c r="D12" s="1" t="s">
        <v>342</v>
      </c>
      <c r="E12" s="1" t="s">
        <v>340</v>
      </c>
      <c r="F12" s="3" t="s">
        <v>907</v>
      </c>
      <c r="G12" s="2" t="s">
        <v>435</v>
      </c>
      <c r="H12" s="1" t="s">
        <v>229</v>
      </c>
      <c r="I12" s="5" t="s">
        <v>432</v>
      </c>
      <c r="J12" s="1" t="s">
        <v>230</v>
      </c>
      <c r="K12" s="2" t="s">
        <v>434</v>
      </c>
      <c r="L12" s="1" t="s">
        <v>4</v>
      </c>
    </row>
    <row r="13" spans="1:12" x14ac:dyDescent="0.2">
      <c r="A13" s="3" t="s">
        <v>212</v>
      </c>
      <c r="B13" s="1" t="s">
        <v>48</v>
      </c>
      <c r="C13" s="1" t="s">
        <v>275</v>
      </c>
      <c r="D13" s="1" t="s">
        <v>345</v>
      </c>
      <c r="E13" s="1" t="s">
        <v>340</v>
      </c>
      <c r="F13" s="3" t="s">
        <v>908</v>
      </c>
      <c r="G13" s="2" t="s">
        <v>436</v>
      </c>
      <c r="H13" s="1" t="s">
        <v>49</v>
      </c>
      <c r="I13" s="5" t="s">
        <v>432</v>
      </c>
      <c r="J13" s="1" t="s">
        <v>50</v>
      </c>
      <c r="K13" s="2" t="s">
        <v>434</v>
      </c>
      <c r="L13" s="1" t="s">
        <v>8</v>
      </c>
    </row>
    <row r="14" spans="1:12" x14ac:dyDescent="0.2">
      <c r="A14" s="3" t="s">
        <v>227</v>
      </c>
      <c r="B14" s="1" t="s">
        <v>97</v>
      </c>
      <c r="C14" s="1" t="s">
        <v>310</v>
      </c>
      <c r="D14" s="1" t="s">
        <v>342</v>
      </c>
      <c r="E14" s="1" t="s">
        <v>562</v>
      </c>
      <c r="F14" s="3" t="s">
        <v>909</v>
      </c>
      <c r="G14" s="2" t="s">
        <v>437</v>
      </c>
      <c r="H14" s="1" t="s">
        <v>98</v>
      </c>
      <c r="I14" s="5" t="s">
        <v>429</v>
      </c>
      <c r="J14" s="1" t="s">
        <v>99</v>
      </c>
      <c r="K14" s="2" t="s">
        <v>427</v>
      </c>
      <c r="L14" s="1" t="s">
        <v>18</v>
      </c>
    </row>
    <row r="15" spans="1:12" x14ac:dyDescent="0.2">
      <c r="A15" s="3" t="s">
        <v>227</v>
      </c>
      <c r="B15" s="1" t="s">
        <v>171</v>
      </c>
      <c r="C15" s="1" t="s">
        <v>309</v>
      </c>
      <c r="D15" s="1" t="s">
        <v>342</v>
      </c>
      <c r="E15" s="1" t="s">
        <v>562</v>
      </c>
      <c r="F15" s="3" t="s">
        <v>910</v>
      </c>
      <c r="G15" s="2" t="s">
        <v>437</v>
      </c>
      <c r="H15" s="1" t="s">
        <v>172</v>
      </c>
      <c r="I15" s="5" t="s">
        <v>429</v>
      </c>
      <c r="J15" s="1" t="s">
        <v>99</v>
      </c>
      <c r="K15" s="2" t="s">
        <v>427</v>
      </c>
      <c r="L15" s="1" t="s">
        <v>18</v>
      </c>
    </row>
    <row r="16" spans="1:12" x14ac:dyDescent="0.2">
      <c r="A16" s="3" t="s">
        <v>227</v>
      </c>
      <c r="B16" s="1" t="s">
        <v>164</v>
      </c>
      <c r="C16" s="1" t="s">
        <v>306</v>
      </c>
      <c r="D16" s="1" t="s">
        <v>338</v>
      </c>
      <c r="E16" s="1" t="s">
        <v>344</v>
      </c>
      <c r="F16" s="3" t="s">
        <v>911</v>
      </c>
      <c r="G16" s="2" t="s">
        <v>438</v>
      </c>
      <c r="H16" s="1" t="s">
        <v>165</v>
      </c>
      <c r="I16" s="5" t="s">
        <v>491</v>
      </c>
      <c r="J16" s="1" t="s">
        <v>7</v>
      </c>
      <c r="K16" s="2" t="s">
        <v>427</v>
      </c>
      <c r="L16" s="1" t="s">
        <v>18</v>
      </c>
    </row>
    <row r="17" spans="1:12" x14ac:dyDescent="0.2">
      <c r="A17" s="3" t="s">
        <v>227</v>
      </c>
      <c r="B17" s="1" t="s">
        <v>100</v>
      </c>
      <c r="C17" s="1" t="s">
        <v>307</v>
      </c>
      <c r="D17" s="1" t="s">
        <v>338</v>
      </c>
      <c r="E17" s="1" t="s">
        <v>346</v>
      </c>
      <c r="F17" s="3" t="s">
        <v>912</v>
      </c>
      <c r="G17" s="2" t="s">
        <v>439</v>
      </c>
      <c r="H17" s="1" t="s">
        <v>166</v>
      </c>
      <c r="I17" s="5" t="s">
        <v>425</v>
      </c>
      <c r="J17" s="1" t="s">
        <v>167</v>
      </c>
      <c r="K17" s="2" t="s">
        <v>427</v>
      </c>
      <c r="L17" s="1" t="s">
        <v>18</v>
      </c>
    </row>
    <row r="18" spans="1:12" x14ac:dyDescent="0.2">
      <c r="A18" s="3" t="s">
        <v>227</v>
      </c>
      <c r="B18" s="1" t="s">
        <v>168</v>
      </c>
      <c r="C18" s="1" t="s">
        <v>308</v>
      </c>
      <c r="D18" s="1" t="s">
        <v>345</v>
      </c>
      <c r="E18" s="1" t="s">
        <v>340</v>
      </c>
      <c r="F18" s="3" t="s">
        <v>913</v>
      </c>
      <c r="G18" s="2" t="s">
        <v>436</v>
      </c>
      <c r="H18" s="1" t="s">
        <v>169</v>
      </c>
      <c r="I18" s="5" t="s">
        <v>432</v>
      </c>
      <c r="J18" s="1" t="s">
        <v>170</v>
      </c>
      <c r="K18" s="2" t="s">
        <v>434</v>
      </c>
      <c r="L18" s="1" t="s">
        <v>18</v>
      </c>
    </row>
    <row r="19" spans="1:12" x14ac:dyDescent="0.2">
      <c r="A19" s="3" t="s">
        <v>487</v>
      </c>
      <c r="B19" s="1" t="s">
        <v>185</v>
      </c>
      <c r="C19" s="1" t="s">
        <v>331</v>
      </c>
      <c r="D19" s="1" t="s">
        <v>342</v>
      </c>
      <c r="E19" s="1" t="s">
        <v>562</v>
      </c>
      <c r="F19" s="3" t="s">
        <v>914</v>
      </c>
      <c r="G19" s="2" t="s">
        <v>440</v>
      </c>
      <c r="H19" s="1" t="s">
        <v>186</v>
      </c>
      <c r="I19" s="5" t="s">
        <v>429</v>
      </c>
      <c r="J19" s="1" t="s">
        <v>187</v>
      </c>
      <c r="K19" s="2" t="s">
        <v>427</v>
      </c>
      <c r="L19" s="1" t="s">
        <v>17</v>
      </c>
    </row>
    <row r="20" spans="1:12" x14ac:dyDescent="0.2">
      <c r="A20" s="3" t="s">
        <v>487</v>
      </c>
      <c r="B20" s="1" t="s">
        <v>103</v>
      </c>
      <c r="C20" s="1" t="s">
        <v>333</v>
      </c>
      <c r="D20" s="1" t="s">
        <v>358</v>
      </c>
      <c r="E20" s="1" t="s">
        <v>489</v>
      </c>
      <c r="F20" s="3" t="s">
        <v>915</v>
      </c>
      <c r="G20" s="2" t="s">
        <v>441</v>
      </c>
      <c r="H20" s="1" t="s">
        <v>104</v>
      </c>
      <c r="I20" s="5" t="s">
        <v>429</v>
      </c>
      <c r="J20" s="1" t="s">
        <v>105</v>
      </c>
      <c r="K20" s="2" t="s">
        <v>428</v>
      </c>
      <c r="L20" s="1" t="s">
        <v>17</v>
      </c>
    </row>
    <row r="21" spans="1:12" x14ac:dyDescent="0.2">
      <c r="A21" s="3" t="s">
        <v>487</v>
      </c>
      <c r="B21" s="1" t="s">
        <v>188</v>
      </c>
      <c r="C21" s="1" t="s">
        <v>332</v>
      </c>
      <c r="D21" s="1" t="s">
        <v>342</v>
      </c>
      <c r="E21" s="1" t="s">
        <v>340</v>
      </c>
      <c r="F21" s="3" t="s">
        <v>916</v>
      </c>
      <c r="G21" s="2" t="s">
        <v>442</v>
      </c>
      <c r="H21" s="1" t="s">
        <v>189</v>
      </c>
      <c r="I21" s="5" t="s">
        <v>432</v>
      </c>
      <c r="J21" s="1" t="s">
        <v>190</v>
      </c>
      <c r="K21" s="2" t="s">
        <v>427</v>
      </c>
      <c r="L21" s="1" t="s">
        <v>191</v>
      </c>
    </row>
    <row r="22" spans="1:12" x14ac:dyDescent="0.2">
      <c r="A22" s="3" t="s">
        <v>487</v>
      </c>
      <c r="B22" s="1" t="s">
        <v>182</v>
      </c>
      <c r="C22" s="1" t="s">
        <v>330</v>
      </c>
      <c r="D22" s="1" t="s">
        <v>338</v>
      </c>
      <c r="E22" s="1" t="s">
        <v>344</v>
      </c>
      <c r="F22" s="3" t="s">
        <v>917</v>
      </c>
      <c r="G22" s="2" t="s">
        <v>443</v>
      </c>
      <c r="H22" s="1" t="s">
        <v>183</v>
      </c>
      <c r="I22" s="5" t="s">
        <v>491</v>
      </c>
      <c r="J22" s="1" t="s">
        <v>184</v>
      </c>
      <c r="K22" s="2" t="s">
        <v>427</v>
      </c>
      <c r="L22" s="1" t="s">
        <v>17</v>
      </c>
    </row>
    <row r="23" spans="1:12" x14ac:dyDescent="0.2">
      <c r="A23" s="3" t="s">
        <v>487</v>
      </c>
      <c r="B23" s="1" t="s">
        <v>180</v>
      </c>
      <c r="C23" s="1" t="s">
        <v>347</v>
      </c>
      <c r="D23" s="1" t="s">
        <v>342</v>
      </c>
      <c r="E23" s="1" t="s">
        <v>562</v>
      </c>
      <c r="F23" s="3" t="s">
        <v>918</v>
      </c>
      <c r="G23" s="2" t="s">
        <v>440</v>
      </c>
      <c r="H23" s="1" t="s">
        <v>181</v>
      </c>
      <c r="I23" s="5" t="s">
        <v>429</v>
      </c>
      <c r="J23" s="1" t="s">
        <v>105</v>
      </c>
      <c r="K23" s="2" t="s">
        <v>427</v>
      </c>
      <c r="L23" s="1" t="s">
        <v>17</v>
      </c>
    </row>
    <row r="24" spans="1:12" x14ac:dyDescent="0.2">
      <c r="A24" s="3" t="s">
        <v>215</v>
      </c>
      <c r="B24" s="1" t="s">
        <v>141</v>
      </c>
      <c r="C24" s="1" t="s">
        <v>284</v>
      </c>
      <c r="D24" s="1" t="s">
        <v>338</v>
      </c>
      <c r="E24" s="1" t="s">
        <v>340</v>
      </c>
      <c r="F24" s="3" t="s">
        <v>919</v>
      </c>
      <c r="G24" s="2" t="s">
        <v>444</v>
      </c>
      <c r="H24" s="1" t="s">
        <v>142</v>
      </c>
      <c r="I24" s="5" t="s">
        <v>425</v>
      </c>
      <c r="J24" s="1" t="s">
        <v>143</v>
      </c>
      <c r="K24" s="2" t="s">
        <v>434</v>
      </c>
      <c r="L24" s="1" t="s">
        <v>9</v>
      </c>
    </row>
    <row r="25" spans="1:12" x14ac:dyDescent="0.2">
      <c r="A25" s="3" t="s">
        <v>215</v>
      </c>
      <c r="B25" s="1" t="s">
        <v>133</v>
      </c>
      <c r="C25" s="1" t="s">
        <v>281</v>
      </c>
      <c r="D25" s="1" t="s">
        <v>338</v>
      </c>
      <c r="E25" s="1" t="s">
        <v>340</v>
      </c>
      <c r="F25" s="3" t="s">
        <v>920</v>
      </c>
      <c r="G25" s="2" t="s">
        <v>444</v>
      </c>
      <c r="H25" s="1" t="s">
        <v>134</v>
      </c>
      <c r="I25" s="5" t="s">
        <v>425</v>
      </c>
      <c r="J25" s="1" t="s">
        <v>31</v>
      </c>
      <c r="K25" s="2" t="s">
        <v>434</v>
      </c>
      <c r="L25" s="1" t="s">
        <v>9</v>
      </c>
    </row>
    <row r="26" spans="1:12" x14ac:dyDescent="0.2">
      <c r="A26" s="3" t="s">
        <v>215</v>
      </c>
      <c r="B26" s="1" t="s">
        <v>135</v>
      </c>
      <c r="C26" s="1" t="s">
        <v>282</v>
      </c>
      <c r="D26" s="1" t="s">
        <v>338</v>
      </c>
      <c r="E26" s="1" t="s">
        <v>340</v>
      </c>
      <c r="F26" s="3" t="s">
        <v>921</v>
      </c>
      <c r="G26" s="2" t="s">
        <v>444</v>
      </c>
      <c r="H26" s="1" t="s">
        <v>136</v>
      </c>
      <c r="I26" s="5" t="s">
        <v>425</v>
      </c>
      <c r="J26" s="1" t="s">
        <v>137</v>
      </c>
      <c r="K26" s="2" t="s">
        <v>434</v>
      </c>
      <c r="L26" s="1" t="s">
        <v>9</v>
      </c>
    </row>
    <row r="27" spans="1:12" x14ac:dyDescent="0.2">
      <c r="A27" s="3" t="s">
        <v>215</v>
      </c>
      <c r="B27" s="1" t="s">
        <v>138</v>
      </c>
      <c r="C27" s="1" t="s">
        <v>283</v>
      </c>
      <c r="D27" s="1" t="s">
        <v>338</v>
      </c>
      <c r="E27" s="1" t="s">
        <v>340</v>
      </c>
      <c r="F27" s="3" t="s">
        <v>922</v>
      </c>
      <c r="G27" s="2" t="s">
        <v>444</v>
      </c>
      <c r="H27" s="1" t="s">
        <v>139</v>
      </c>
      <c r="I27" s="5" t="s">
        <v>425</v>
      </c>
      <c r="J27" s="1" t="s">
        <v>140</v>
      </c>
      <c r="K27" s="2" t="s">
        <v>434</v>
      </c>
      <c r="L27" s="1" t="s">
        <v>9</v>
      </c>
    </row>
    <row r="28" spans="1:12" x14ac:dyDescent="0.2">
      <c r="A28" s="3" t="s">
        <v>220</v>
      </c>
      <c r="B28" s="1" t="s">
        <v>79</v>
      </c>
      <c r="C28" s="1" t="s">
        <v>291</v>
      </c>
      <c r="D28" s="1" t="s">
        <v>338</v>
      </c>
      <c r="E28" s="1" t="s">
        <v>344</v>
      </c>
      <c r="F28" s="3" t="s">
        <v>923</v>
      </c>
      <c r="G28" s="2" t="s">
        <v>438</v>
      </c>
      <c r="H28" s="1" t="s">
        <v>80</v>
      </c>
      <c r="I28" s="5" t="s">
        <v>491</v>
      </c>
      <c r="J28" s="1" t="s">
        <v>77</v>
      </c>
      <c r="K28" s="2" t="s">
        <v>427</v>
      </c>
      <c r="L28" s="1" t="s">
        <v>13</v>
      </c>
    </row>
    <row r="29" spans="1:12" x14ac:dyDescent="0.2">
      <c r="A29" s="3" t="s">
        <v>220</v>
      </c>
      <c r="B29" s="1" t="s">
        <v>81</v>
      </c>
      <c r="C29" s="1" t="s">
        <v>300</v>
      </c>
      <c r="D29" s="1" t="s">
        <v>342</v>
      </c>
      <c r="E29" s="1" t="s">
        <v>562</v>
      </c>
      <c r="F29" s="3" t="s">
        <v>924</v>
      </c>
      <c r="G29" s="2" t="s">
        <v>445</v>
      </c>
      <c r="H29" s="1" t="s">
        <v>82</v>
      </c>
      <c r="I29" s="5" t="s">
        <v>429</v>
      </c>
      <c r="J29" s="1" t="s">
        <v>14</v>
      </c>
      <c r="K29" s="2" t="s">
        <v>427</v>
      </c>
      <c r="L29" s="1" t="s">
        <v>15</v>
      </c>
    </row>
    <row r="30" spans="1:12" x14ac:dyDescent="0.2">
      <c r="A30" s="3" t="s">
        <v>220</v>
      </c>
      <c r="B30" s="1" t="s">
        <v>252</v>
      </c>
      <c r="C30" s="1" t="s">
        <v>324</v>
      </c>
      <c r="D30" s="1" t="s">
        <v>342</v>
      </c>
      <c r="E30" s="1" t="s">
        <v>340</v>
      </c>
      <c r="F30" s="3" t="s">
        <v>925</v>
      </c>
      <c r="G30" s="2" t="s">
        <v>446</v>
      </c>
      <c r="H30" s="1" t="s">
        <v>253</v>
      </c>
      <c r="I30" s="5" t="s">
        <v>432</v>
      </c>
      <c r="J30" s="1" t="s">
        <v>53</v>
      </c>
      <c r="K30" s="2" t="s">
        <v>434</v>
      </c>
      <c r="L30" s="1" t="s">
        <v>86</v>
      </c>
    </row>
    <row r="31" spans="1:12" x14ac:dyDescent="0.2">
      <c r="A31" s="3" t="s">
        <v>220</v>
      </c>
      <c r="B31" s="1" t="s">
        <v>254</v>
      </c>
      <c r="C31" s="1" t="s">
        <v>325</v>
      </c>
      <c r="D31" s="1" t="s">
        <v>343</v>
      </c>
      <c r="E31" s="1" t="s">
        <v>562</v>
      </c>
      <c r="F31" s="3" t="s">
        <v>926</v>
      </c>
      <c r="G31" s="2" t="s">
        <v>441</v>
      </c>
      <c r="H31" s="1" t="s">
        <v>255</v>
      </c>
      <c r="I31" s="5" t="s">
        <v>429</v>
      </c>
      <c r="J31" s="1" t="s">
        <v>256</v>
      </c>
      <c r="K31" s="2" t="s">
        <v>427</v>
      </c>
      <c r="L31" s="1" t="s">
        <v>17</v>
      </c>
    </row>
    <row r="32" spans="1:12" x14ac:dyDescent="0.2">
      <c r="A32" s="3" t="s">
        <v>220</v>
      </c>
      <c r="B32" s="1" t="s">
        <v>83</v>
      </c>
      <c r="C32" s="1" t="s">
        <v>301</v>
      </c>
      <c r="D32" s="1" t="s">
        <v>338</v>
      </c>
      <c r="E32" s="1" t="s">
        <v>344</v>
      </c>
      <c r="F32" s="3" t="s">
        <v>927</v>
      </c>
      <c r="G32" s="2" t="s">
        <v>438</v>
      </c>
      <c r="H32" s="1" t="s">
        <v>84</v>
      </c>
      <c r="I32" s="5" t="s">
        <v>491</v>
      </c>
      <c r="J32" s="1" t="s">
        <v>85</v>
      </c>
      <c r="K32" s="2" t="s">
        <v>427</v>
      </c>
      <c r="L32" s="1" t="s">
        <v>86</v>
      </c>
    </row>
    <row r="33" spans="1:12" x14ac:dyDescent="0.2">
      <c r="A33" s="3" t="s">
        <v>220</v>
      </c>
      <c r="B33" s="1" t="s">
        <v>75</v>
      </c>
      <c r="C33" s="1" t="s">
        <v>290</v>
      </c>
      <c r="D33" s="1" t="s">
        <v>338</v>
      </c>
      <c r="E33" s="1" t="s">
        <v>344</v>
      </c>
      <c r="F33" s="3" t="s">
        <v>928</v>
      </c>
      <c r="G33" s="2" t="s">
        <v>438</v>
      </c>
      <c r="H33" s="1" t="s">
        <v>76</v>
      </c>
      <c r="I33" s="5" t="s">
        <v>491</v>
      </c>
      <c r="J33" s="1" t="s">
        <v>77</v>
      </c>
      <c r="K33" s="2" t="s">
        <v>427</v>
      </c>
      <c r="L33" s="1" t="s">
        <v>78</v>
      </c>
    </row>
    <row r="34" spans="1:12" x14ac:dyDescent="0.2">
      <c r="A34" s="3" t="s">
        <v>225</v>
      </c>
      <c r="B34" s="1" t="s">
        <v>355</v>
      </c>
      <c r="C34" s="1" t="s">
        <v>356</v>
      </c>
      <c r="D34" s="1" t="s">
        <v>345</v>
      </c>
      <c r="E34" s="1" t="s">
        <v>562</v>
      </c>
      <c r="F34" s="3" t="s">
        <v>929</v>
      </c>
      <c r="G34" s="2" t="s">
        <v>447</v>
      </c>
      <c r="H34" s="1" t="s">
        <v>357</v>
      </c>
      <c r="I34" s="5" t="s">
        <v>491</v>
      </c>
      <c r="J34" s="1" t="s">
        <v>99</v>
      </c>
      <c r="K34" s="2" t="s">
        <v>434</v>
      </c>
      <c r="L34" s="1" t="s">
        <v>17</v>
      </c>
    </row>
    <row r="35" spans="1:12" x14ac:dyDescent="0.2">
      <c r="A35" s="3" t="s">
        <v>225</v>
      </c>
      <c r="B35" s="1" t="s">
        <v>352</v>
      </c>
      <c r="C35" s="1" t="s">
        <v>353</v>
      </c>
      <c r="D35" s="1" t="s">
        <v>342</v>
      </c>
      <c r="E35" s="1" t="s">
        <v>340</v>
      </c>
      <c r="F35" s="3" t="s">
        <v>930</v>
      </c>
      <c r="G35" s="2" t="s">
        <v>442</v>
      </c>
      <c r="H35" s="1" t="s">
        <v>354</v>
      </c>
      <c r="I35" s="5" t="s">
        <v>432</v>
      </c>
      <c r="J35" s="1" t="s">
        <v>88</v>
      </c>
      <c r="K35" s="2" t="s">
        <v>427</v>
      </c>
      <c r="L35" s="1" t="s">
        <v>191</v>
      </c>
    </row>
    <row r="36" spans="1:12" x14ac:dyDescent="0.2">
      <c r="A36" s="3" t="s">
        <v>225</v>
      </c>
      <c r="B36" s="1" t="s">
        <v>348</v>
      </c>
      <c r="C36" s="1" t="s">
        <v>349</v>
      </c>
      <c r="D36" s="1" t="s">
        <v>338</v>
      </c>
      <c r="E36" s="1" t="s">
        <v>344</v>
      </c>
      <c r="F36" s="3" t="s">
        <v>931</v>
      </c>
      <c r="G36" s="2" t="s">
        <v>443</v>
      </c>
      <c r="H36" s="1" t="s">
        <v>350</v>
      </c>
      <c r="I36" s="5" t="s">
        <v>491</v>
      </c>
      <c r="J36" s="1" t="s">
        <v>351</v>
      </c>
      <c r="K36" s="2" t="s">
        <v>427</v>
      </c>
      <c r="L36" s="1" t="s">
        <v>17</v>
      </c>
    </row>
    <row r="37" spans="1:12" x14ac:dyDescent="0.2">
      <c r="A37" s="3" t="s">
        <v>362</v>
      </c>
      <c r="B37" s="1" t="s">
        <v>233</v>
      </c>
      <c r="C37" s="1" t="s">
        <v>317</v>
      </c>
      <c r="D37" s="1" t="s">
        <v>338</v>
      </c>
      <c r="E37" s="1" t="s">
        <v>340</v>
      </c>
      <c r="F37" s="3" t="s">
        <v>932</v>
      </c>
      <c r="G37" s="2" t="s">
        <v>444</v>
      </c>
      <c r="H37" s="1" t="s">
        <v>234</v>
      </c>
      <c r="I37" s="5" t="s">
        <v>425</v>
      </c>
      <c r="J37" s="1" t="s">
        <v>235</v>
      </c>
      <c r="K37" s="2" t="s">
        <v>427</v>
      </c>
      <c r="L37" s="1" t="s">
        <v>9</v>
      </c>
    </row>
    <row r="38" spans="1:12" x14ac:dyDescent="0.2">
      <c r="A38" s="3" t="s">
        <v>213</v>
      </c>
      <c r="B38" s="1" t="s">
        <v>54</v>
      </c>
      <c r="C38" s="1" t="s">
        <v>277</v>
      </c>
      <c r="D38" s="1" t="s">
        <v>342</v>
      </c>
      <c r="E38" s="1" t="s">
        <v>340</v>
      </c>
      <c r="F38" s="3" t="s">
        <v>933</v>
      </c>
      <c r="G38" s="2" t="s">
        <v>435</v>
      </c>
      <c r="H38" s="1" t="s">
        <v>55</v>
      </c>
      <c r="I38" s="5" t="s">
        <v>432</v>
      </c>
      <c r="J38" s="1" t="s">
        <v>53</v>
      </c>
      <c r="K38" s="2" t="s">
        <v>434</v>
      </c>
      <c r="L38" s="1" t="s">
        <v>6</v>
      </c>
    </row>
    <row r="39" spans="1:12" x14ac:dyDescent="0.2">
      <c r="A39" s="3" t="s">
        <v>213</v>
      </c>
      <c r="B39" s="1" t="s">
        <v>231</v>
      </c>
      <c r="C39" s="1" t="s">
        <v>316</v>
      </c>
      <c r="D39" s="1" t="s">
        <v>338</v>
      </c>
      <c r="E39" s="1" t="s">
        <v>340</v>
      </c>
      <c r="F39" s="3" t="s">
        <v>934</v>
      </c>
      <c r="G39" s="2" t="s">
        <v>444</v>
      </c>
      <c r="H39" s="1" t="s">
        <v>232</v>
      </c>
      <c r="I39" s="5" t="s">
        <v>425</v>
      </c>
      <c r="J39" s="1" t="s">
        <v>50</v>
      </c>
      <c r="K39" s="2" t="s">
        <v>434</v>
      </c>
      <c r="L39" s="1" t="s">
        <v>5</v>
      </c>
    </row>
    <row r="40" spans="1:12" x14ac:dyDescent="0.2">
      <c r="A40" s="3" t="s">
        <v>213</v>
      </c>
      <c r="B40" s="1" t="s">
        <v>51</v>
      </c>
      <c r="C40" s="1" t="s">
        <v>276</v>
      </c>
      <c r="D40" s="1" t="s">
        <v>338</v>
      </c>
      <c r="E40" s="1" t="s">
        <v>340</v>
      </c>
      <c r="F40" s="3" t="s">
        <v>935</v>
      </c>
      <c r="G40" s="2" t="s">
        <v>444</v>
      </c>
      <c r="H40" s="1" t="s">
        <v>52</v>
      </c>
      <c r="I40" s="5" t="s">
        <v>425</v>
      </c>
      <c r="J40" s="1" t="s">
        <v>53</v>
      </c>
      <c r="K40" s="2" t="s">
        <v>434</v>
      </c>
      <c r="L40" s="1" t="s">
        <v>5</v>
      </c>
    </row>
    <row r="41" spans="1:12" x14ac:dyDescent="0.2">
      <c r="A41" s="3" t="s">
        <v>218</v>
      </c>
      <c r="B41" s="1" t="s">
        <v>242</v>
      </c>
      <c r="C41" s="1" t="s">
        <v>320</v>
      </c>
      <c r="D41" s="1" t="s">
        <v>358</v>
      </c>
      <c r="E41" s="1" t="s">
        <v>340</v>
      </c>
      <c r="F41" s="3" t="s">
        <v>936</v>
      </c>
      <c r="G41" s="2" t="s">
        <v>448</v>
      </c>
      <c r="H41" s="1" t="s">
        <v>243</v>
      </c>
      <c r="I41" s="5" t="s">
        <v>432</v>
      </c>
      <c r="J41" s="1" t="s">
        <v>50</v>
      </c>
      <c r="K41" s="2" t="s">
        <v>427</v>
      </c>
      <c r="L41" s="1" t="s">
        <v>8</v>
      </c>
    </row>
    <row r="42" spans="1:12" x14ac:dyDescent="0.2">
      <c r="A42" s="3" t="s">
        <v>218</v>
      </c>
      <c r="B42" s="1" t="s">
        <v>361</v>
      </c>
      <c r="C42" s="1" t="s">
        <v>289</v>
      </c>
      <c r="D42" s="1" t="s">
        <v>345</v>
      </c>
      <c r="E42" s="1" t="s">
        <v>340</v>
      </c>
      <c r="F42" s="3" t="s">
        <v>937</v>
      </c>
      <c r="G42" s="2" t="s">
        <v>436</v>
      </c>
      <c r="H42" s="1" t="s">
        <v>73</v>
      </c>
      <c r="I42" s="5" t="s">
        <v>432</v>
      </c>
      <c r="J42" s="1" t="s">
        <v>50</v>
      </c>
      <c r="K42" s="2" t="s">
        <v>434</v>
      </c>
      <c r="L42" s="1" t="s">
        <v>74</v>
      </c>
    </row>
    <row r="43" spans="1:12" x14ac:dyDescent="0.2">
      <c r="A43" s="3" t="s">
        <v>218</v>
      </c>
      <c r="B43" s="1" t="s">
        <v>244</v>
      </c>
      <c r="C43" s="1" t="s">
        <v>321</v>
      </c>
      <c r="D43" s="1" t="s">
        <v>345</v>
      </c>
      <c r="E43" s="1" t="s">
        <v>340</v>
      </c>
      <c r="F43" s="3" t="s">
        <v>938</v>
      </c>
      <c r="G43" s="2" t="s">
        <v>436</v>
      </c>
      <c r="H43" s="1" t="s">
        <v>245</v>
      </c>
      <c r="I43" s="5" t="s">
        <v>432</v>
      </c>
      <c r="J43" s="1" t="s">
        <v>50</v>
      </c>
      <c r="K43" s="2" t="s">
        <v>434</v>
      </c>
      <c r="L43" s="1" t="s">
        <v>8</v>
      </c>
    </row>
    <row r="44" spans="1:12" x14ac:dyDescent="0.2">
      <c r="A44" s="3" t="s">
        <v>421</v>
      </c>
      <c r="B44" s="1" t="s">
        <v>42</v>
      </c>
      <c r="C44" s="1" t="s">
        <v>273</v>
      </c>
      <c r="D44" s="1" t="s">
        <v>338</v>
      </c>
      <c r="E44" s="1" t="s">
        <v>340</v>
      </c>
      <c r="F44" s="3" t="s">
        <v>939</v>
      </c>
      <c r="G44" s="2" t="s">
        <v>449</v>
      </c>
      <c r="H44" s="1" t="s">
        <v>43</v>
      </c>
      <c r="I44" s="5" t="s">
        <v>425</v>
      </c>
      <c r="J44" s="1" t="s">
        <v>44</v>
      </c>
      <c r="K44" s="2" t="s">
        <v>427</v>
      </c>
      <c r="L44" s="1" t="s">
        <v>4</v>
      </c>
    </row>
    <row r="45" spans="1:12" x14ac:dyDescent="0.2">
      <c r="A45" s="3" t="s">
        <v>423</v>
      </c>
      <c r="B45" s="1" t="s">
        <v>260</v>
      </c>
      <c r="C45" s="1" t="s">
        <v>327</v>
      </c>
      <c r="D45" s="1" t="s">
        <v>345</v>
      </c>
      <c r="E45" s="1" t="s">
        <v>340</v>
      </c>
      <c r="F45" s="3" t="s">
        <v>940</v>
      </c>
      <c r="G45" s="2" t="s">
        <v>436</v>
      </c>
      <c r="H45" s="1" t="s">
        <v>261</v>
      </c>
      <c r="I45" s="5" t="s">
        <v>432</v>
      </c>
      <c r="J45" s="1" t="s">
        <v>53</v>
      </c>
      <c r="K45" s="2" t="s">
        <v>434</v>
      </c>
      <c r="L45" s="1" t="s">
        <v>8</v>
      </c>
    </row>
    <row r="46" spans="1:12" x14ac:dyDescent="0.2">
      <c r="A46" s="3" t="s">
        <v>421</v>
      </c>
      <c r="B46" s="1" t="s">
        <v>246</v>
      </c>
      <c r="C46" s="1" t="s">
        <v>322</v>
      </c>
      <c r="D46" s="1" t="s">
        <v>338</v>
      </c>
      <c r="E46" s="1" t="s">
        <v>340</v>
      </c>
      <c r="F46" s="3" t="s">
        <v>941</v>
      </c>
      <c r="G46" s="2" t="s">
        <v>449</v>
      </c>
      <c r="H46" s="1" t="s">
        <v>247</v>
      </c>
      <c r="I46" s="5" t="s">
        <v>425</v>
      </c>
      <c r="J46" s="1" t="s">
        <v>248</v>
      </c>
      <c r="K46" s="2" t="s">
        <v>427</v>
      </c>
      <c r="L46" s="1" t="s">
        <v>8</v>
      </c>
    </row>
    <row r="47" spans="1:12" x14ac:dyDescent="0.2">
      <c r="A47" s="3" t="s">
        <v>421</v>
      </c>
      <c r="B47" s="1" t="s">
        <v>45</v>
      </c>
      <c r="C47" s="1" t="s">
        <v>274</v>
      </c>
      <c r="D47" s="1" t="s">
        <v>342</v>
      </c>
      <c r="E47" s="1" t="s">
        <v>340</v>
      </c>
      <c r="F47" s="3" t="s">
        <v>942</v>
      </c>
      <c r="G47" s="2" t="s">
        <v>449</v>
      </c>
      <c r="H47" s="1" t="s">
        <v>46</v>
      </c>
      <c r="I47" s="5" t="s">
        <v>432</v>
      </c>
      <c r="J47" s="1" t="s">
        <v>47</v>
      </c>
      <c r="K47" s="2" t="s">
        <v>434</v>
      </c>
      <c r="L47" s="1" t="s">
        <v>8</v>
      </c>
    </row>
    <row r="48" spans="1:12" x14ac:dyDescent="0.2">
      <c r="A48" s="3" t="s">
        <v>216</v>
      </c>
      <c r="B48" s="1" t="s">
        <v>236</v>
      </c>
      <c r="C48" s="1" t="s">
        <v>318</v>
      </c>
      <c r="D48" s="1" t="s">
        <v>338</v>
      </c>
      <c r="E48" s="1" t="s">
        <v>346</v>
      </c>
      <c r="F48" s="3" t="s">
        <v>943</v>
      </c>
      <c r="G48" s="2" t="s">
        <v>450</v>
      </c>
      <c r="H48" s="1" t="s">
        <v>237</v>
      </c>
      <c r="I48" s="5" t="s">
        <v>425</v>
      </c>
      <c r="J48" s="1" t="s">
        <v>24</v>
      </c>
      <c r="K48" s="2" t="s">
        <v>427</v>
      </c>
      <c r="L48" s="1" t="s">
        <v>9</v>
      </c>
    </row>
    <row r="49" spans="1:12" x14ac:dyDescent="0.2">
      <c r="A49" s="3" t="s">
        <v>216</v>
      </c>
      <c r="B49" s="1" t="s">
        <v>238</v>
      </c>
      <c r="C49" s="1" t="s">
        <v>319</v>
      </c>
      <c r="D49" s="1" t="s">
        <v>342</v>
      </c>
      <c r="E49" s="1" t="s">
        <v>562</v>
      </c>
      <c r="F49" s="3" t="s">
        <v>944</v>
      </c>
      <c r="G49" s="2" t="s">
        <v>450</v>
      </c>
      <c r="H49" s="1" t="s">
        <v>239</v>
      </c>
      <c r="I49" s="5" t="s">
        <v>429</v>
      </c>
      <c r="J49" s="1" t="s">
        <v>240</v>
      </c>
      <c r="K49" s="2" t="s">
        <v>427</v>
      </c>
      <c r="L49" s="1" t="s">
        <v>241</v>
      </c>
    </row>
    <row r="50" spans="1:12" x14ac:dyDescent="0.2">
      <c r="A50" s="3" t="s">
        <v>221</v>
      </c>
      <c r="B50" s="1" t="s">
        <v>157</v>
      </c>
      <c r="C50" s="1" t="s">
        <v>293</v>
      </c>
      <c r="D50" s="1" t="s">
        <v>338</v>
      </c>
      <c r="E50" s="1" t="s">
        <v>340</v>
      </c>
      <c r="F50" s="3" t="s">
        <v>945</v>
      </c>
      <c r="G50" s="2" t="s">
        <v>451</v>
      </c>
      <c r="H50" s="1" t="s">
        <v>158</v>
      </c>
      <c r="I50" s="5" t="s">
        <v>425</v>
      </c>
      <c r="J50" s="1" t="s">
        <v>11</v>
      </c>
      <c r="K50" s="2" t="s">
        <v>434</v>
      </c>
      <c r="L50" s="1" t="s">
        <v>12</v>
      </c>
    </row>
    <row r="51" spans="1:12" x14ac:dyDescent="0.2">
      <c r="A51" s="3" t="s">
        <v>221</v>
      </c>
      <c r="B51" s="1" t="s">
        <v>154</v>
      </c>
      <c r="C51" s="1" t="s">
        <v>292</v>
      </c>
      <c r="D51" s="1" t="s">
        <v>338</v>
      </c>
      <c r="E51" s="1" t="s">
        <v>340</v>
      </c>
      <c r="F51" s="3" t="s">
        <v>946</v>
      </c>
      <c r="G51" s="2" t="s">
        <v>451</v>
      </c>
      <c r="H51" s="1" t="s">
        <v>155</v>
      </c>
      <c r="I51" s="5" t="s">
        <v>425</v>
      </c>
      <c r="J51" s="1" t="s">
        <v>156</v>
      </c>
      <c r="K51" s="2" t="s">
        <v>434</v>
      </c>
      <c r="L51" s="1" t="s">
        <v>12</v>
      </c>
    </row>
    <row r="52" spans="1:12" x14ac:dyDescent="0.2">
      <c r="A52" s="3" t="s">
        <v>221</v>
      </c>
      <c r="B52" s="1" t="s">
        <v>257</v>
      </c>
      <c r="C52" s="1" t="s">
        <v>326</v>
      </c>
      <c r="D52" s="1" t="s">
        <v>338</v>
      </c>
      <c r="E52" s="1" t="s">
        <v>340</v>
      </c>
      <c r="F52" s="3" t="s">
        <v>947</v>
      </c>
      <c r="G52" s="2" t="s">
        <v>451</v>
      </c>
      <c r="H52" s="1" t="s">
        <v>258</v>
      </c>
      <c r="I52" s="5" t="s">
        <v>425</v>
      </c>
      <c r="J52" s="1" t="s">
        <v>259</v>
      </c>
      <c r="K52" s="2" t="s">
        <v>427</v>
      </c>
      <c r="L52" s="1" t="s">
        <v>12</v>
      </c>
    </row>
    <row r="53" spans="1:12" x14ac:dyDescent="0.2">
      <c r="A53" s="3" t="s">
        <v>221</v>
      </c>
      <c r="B53" s="1" t="s">
        <v>159</v>
      </c>
      <c r="C53" s="1" t="s">
        <v>294</v>
      </c>
      <c r="D53" s="1" t="s">
        <v>342</v>
      </c>
      <c r="E53" s="1" t="s">
        <v>340</v>
      </c>
      <c r="F53" s="3" t="s">
        <v>948</v>
      </c>
      <c r="G53" s="2" t="s">
        <v>449</v>
      </c>
      <c r="H53" s="1" t="s">
        <v>160</v>
      </c>
      <c r="I53" s="5" t="s">
        <v>432</v>
      </c>
      <c r="J53" s="1" t="s">
        <v>161</v>
      </c>
      <c r="K53" s="2" t="s">
        <v>434</v>
      </c>
      <c r="L53" s="1" t="s">
        <v>8</v>
      </c>
    </row>
    <row r="54" spans="1:12" x14ac:dyDescent="0.2">
      <c r="A54" s="3" t="s">
        <v>221</v>
      </c>
      <c r="B54" s="1" t="s">
        <v>162</v>
      </c>
      <c r="C54" s="1" t="s">
        <v>295</v>
      </c>
      <c r="D54" s="1" t="s">
        <v>345</v>
      </c>
      <c r="E54" s="1" t="s">
        <v>340</v>
      </c>
      <c r="F54" s="3" t="s">
        <v>949</v>
      </c>
      <c r="G54" s="2" t="s">
        <v>436</v>
      </c>
      <c r="H54" s="1" t="s">
        <v>163</v>
      </c>
      <c r="I54" s="5" t="s">
        <v>432</v>
      </c>
      <c r="J54" s="1" t="s">
        <v>50</v>
      </c>
      <c r="K54" s="2" t="s">
        <v>434</v>
      </c>
      <c r="L54" s="1" t="s">
        <v>74</v>
      </c>
    </row>
    <row r="55" spans="1:12" x14ac:dyDescent="0.2">
      <c r="A55" s="3" t="s">
        <v>222</v>
      </c>
      <c r="B55" s="1" t="s">
        <v>151</v>
      </c>
      <c r="C55" s="1" t="s">
        <v>299</v>
      </c>
      <c r="D55" s="1" t="s">
        <v>343</v>
      </c>
      <c r="E55" s="1" t="s">
        <v>562</v>
      </c>
      <c r="F55" s="3" t="s">
        <v>950</v>
      </c>
      <c r="G55" s="2" t="s">
        <v>452</v>
      </c>
      <c r="H55" s="1" t="s">
        <v>152</v>
      </c>
      <c r="I55" s="5" t="s">
        <v>490</v>
      </c>
      <c r="J55" s="1" t="s">
        <v>153</v>
      </c>
      <c r="K55" s="2" t="s">
        <v>427</v>
      </c>
      <c r="L55" s="1" t="s">
        <v>17</v>
      </c>
    </row>
    <row r="56" spans="1:12" x14ac:dyDescent="0.2">
      <c r="A56" s="3" t="s">
        <v>222</v>
      </c>
      <c r="B56" s="1" t="s">
        <v>146</v>
      </c>
      <c r="C56" s="1" t="s">
        <v>297</v>
      </c>
      <c r="D56" s="1" t="s">
        <v>338</v>
      </c>
      <c r="E56" s="1" t="s">
        <v>344</v>
      </c>
      <c r="F56" s="3" t="s">
        <v>951</v>
      </c>
      <c r="G56" s="2" t="s">
        <v>453</v>
      </c>
      <c r="H56" s="1" t="s">
        <v>147</v>
      </c>
      <c r="I56" s="5" t="s">
        <v>491</v>
      </c>
      <c r="J56" s="1" t="s">
        <v>77</v>
      </c>
      <c r="K56" s="2" t="s">
        <v>428</v>
      </c>
      <c r="L56" s="1" t="s">
        <v>12</v>
      </c>
    </row>
    <row r="57" spans="1:12" x14ac:dyDescent="0.2">
      <c r="A57" s="3" t="s">
        <v>222</v>
      </c>
      <c r="B57" s="1" t="s">
        <v>144</v>
      </c>
      <c r="C57" s="1" t="s">
        <v>296</v>
      </c>
      <c r="D57" s="1" t="s">
        <v>338</v>
      </c>
      <c r="E57" s="1" t="s">
        <v>340</v>
      </c>
      <c r="F57" s="3" t="s">
        <v>952</v>
      </c>
      <c r="G57" s="2" t="s">
        <v>453</v>
      </c>
      <c r="H57" s="1" t="s">
        <v>145</v>
      </c>
      <c r="I57" s="5" t="s">
        <v>425</v>
      </c>
      <c r="J57" s="1" t="s">
        <v>31</v>
      </c>
      <c r="K57" s="2" t="s">
        <v>427</v>
      </c>
      <c r="L57" s="1" t="s">
        <v>12</v>
      </c>
    </row>
    <row r="58" spans="1:12" x14ac:dyDescent="0.2">
      <c r="A58" s="3" t="s">
        <v>222</v>
      </c>
      <c r="B58" s="1" t="s">
        <v>148</v>
      </c>
      <c r="C58" s="1" t="s">
        <v>298</v>
      </c>
      <c r="D58" s="1" t="s">
        <v>338</v>
      </c>
      <c r="E58" s="1" t="s">
        <v>340</v>
      </c>
      <c r="F58" s="3" t="s">
        <v>953</v>
      </c>
      <c r="G58" s="2" t="s">
        <v>426</v>
      </c>
      <c r="H58" s="1" t="s">
        <v>149</v>
      </c>
      <c r="I58" s="5" t="s">
        <v>425</v>
      </c>
      <c r="J58" s="1" t="s">
        <v>50</v>
      </c>
      <c r="K58" s="2" t="s">
        <v>427</v>
      </c>
      <c r="L58" s="1" t="s">
        <v>150</v>
      </c>
    </row>
    <row r="59" spans="1:12" x14ac:dyDescent="0.2">
      <c r="A59" s="3" t="s">
        <v>219</v>
      </c>
      <c r="B59" s="1" t="s">
        <v>360</v>
      </c>
      <c r="C59" s="1" t="s">
        <v>288</v>
      </c>
      <c r="D59" s="1" t="s">
        <v>342</v>
      </c>
      <c r="E59" s="1" t="s">
        <v>562</v>
      </c>
      <c r="F59" s="3" t="s">
        <v>954</v>
      </c>
      <c r="G59" s="2" t="s">
        <v>451</v>
      </c>
      <c r="H59" s="1" t="s">
        <v>71</v>
      </c>
      <c r="I59" s="5" t="s">
        <v>429</v>
      </c>
      <c r="J59" s="1" t="s">
        <v>72</v>
      </c>
      <c r="K59" s="2" t="s">
        <v>427</v>
      </c>
      <c r="L59" s="1" t="s">
        <v>12</v>
      </c>
    </row>
    <row r="60" spans="1:12" x14ac:dyDescent="0.2">
      <c r="A60" s="3" t="s">
        <v>219</v>
      </c>
      <c r="B60" s="1" t="s">
        <v>249</v>
      </c>
      <c r="C60" s="1" t="s">
        <v>323</v>
      </c>
      <c r="D60" s="1" t="s">
        <v>343</v>
      </c>
      <c r="E60" s="1" t="s">
        <v>562</v>
      </c>
      <c r="F60" s="3" t="s">
        <v>955</v>
      </c>
      <c r="G60" s="2" t="s">
        <v>454</v>
      </c>
      <c r="H60" s="1" t="s">
        <v>250</v>
      </c>
      <c r="I60" s="5" t="s">
        <v>429</v>
      </c>
      <c r="J60" s="1" t="s">
        <v>251</v>
      </c>
      <c r="K60" s="2" t="s">
        <v>428</v>
      </c>
      <c r="L60" s="1" t="s">
        <v>12</v>
      </c>
    </row>
    <row r="61" spans="1:12" x14ac:dyDescent="0.2">
      <c r="A61" s="3" t="s">
        <v>217</v>
      </c>
      <c r="B61" s="1" t="s">
        <v>68</v>
      </c>
      <c r="C61" s="1" t="s">
        <v>287</v>
      </c>
      <c r="D61" s="1" t="s">
        <v>338</v>
      </c>
      <c r="E61" s="1" t="s">
        <v>340</v>
      </c>
      <c r="F61" s="3" t="s">
        <v>956</v>
      </c>
      <c r="G61" s="2" t="s">
        <v>455</v>
      </c>
      <c r="H61" s="1" t="s">
        <v>69</v>
      </c>
      <c r="I61" s="5" t="s">
        <v>425</v>
      </c>
      <c r="J61" s="1" t="s">
        <v>70</v>
      </c>
      <c r="K61" s="2" t="s">
        <v>427</v>
      </c>
      <c r="L61" s="1" t="s">
        <v>9</v>
      </c>
    </row>
    <row r="62" spans="1:12" x14ac:dyDescent="0.2">
      <c r="A62" s="3" t="s">
        <v>217</v>
      </c>
      <c r="B62" s="1" t="s">
        <v>66</v>
      </c>
      <c r="C62" s="1" t="s">
        <v>286</v>
      </c>
      <c r="D62" s="1" t="s">
        <v>338</v>
      </c>
      <c r="E62" s="1" t="s">
        <v>340</v>
      </c>
      <c r="F62" s="3" t="s">
        <v>957</v>
      </c>
      <c r="G62" s="2" t="s">
        <v>455</v>
      </c>
      <c r="H62" s="1" t="s">
        <v>67</v>
      </c>
      <c r="I62" s="5" t="s">
        <v>425</v>
      </c>
      <c r="J62" s="1" t="s">
        <v>50</v>
      </c>
      <c r="K62" s="2" t="s">
        <v>427</v>
      </c>
      <c r="L62" s="1" t="s">
        <v>9</v>
      </c>
    </row>
    <row r="63" spans="1:12" x14ac:dyDescent="0.2">
      <c r="A63" s="3" t="s">
        <v>217</v>
      </c>
      <c r="B63" s="1" t="s">
        <v>63</v>
      </c>
      <c r="C63" s="1" t="s">
        <v>285</v>
      </c>
      <c r="D63" s="1" t="s">
        <v>338</v>
      </c>
      <c r="E63" s="1" t="s">
        <v>340</v>
      </c>
      <c r="F63" s="3" t="s">
        <v>958</v>
      </c>
      <c r="G63" s="2" t="s">
        <v>455</v>
      </c>
      <c r="H63" s="1" t="s">
        <v>64</v>
      </c>
      <c r="I63" s="5" t="s">
        <v>425</v>
      </c>
      <c r="J63" s="1" t="s">
        <v>65</v>
      </c>
      <c r="K63" s="2" t="s">
        <v>427</v>
      </c>
      <c r="L63" s="1" t="s">
        <v>9</v>
      </c>
    </row>
    <row r="64" spans="1:12" x14ac:dyDescent="0.2">
      <c r="A64" s="3" t="s">
        <v>224</v>
      </c>
      <c r="B64" s="1" t="s">
        <v>106</v>
      </c>
      <c r="C64" s="1" t="s">
        <v>334</v>
      </c>
      <c r="D64" s="1" t="s">
        <v>338</v>
      </c>
      <c r="E64" s="1" t="s">
        <v>340</v>
      </c>
      <c r="F64" s="3" t="s">
        <v>959</v>
      </c>
      <c r="G64" s="2" t="s">
        <v>444</v>
      </c>
      <c r="H64" s="1" t="s">
        <v>107</v>
      </c>
      <c r="I64" s="5" t="s">
        <v>425</v>
      </c>
      <c r="J64" s="1" t="s">
        <v>108</v>
      </c>
      <c r="K64" s="2" t="s">
        <v>427</v>
      </c>
      <c r="L64" s="1" t="s">
        <v>8</v>
      </c>
    </row>
    <row r="65" spans="1:12" x14ac:dyDescent="0.2">
      <c r="A65" s="3" t="s">
        <v>224</v>
      </c>
      <c r="B65" s="1" t="s">
        <v>264</v>
      </c>
      <c r="C65" s="1" t="s">
        <v>329</v>
      </c>
      <c r="D65" s="1" t="s">
        <v>338</v>
      </c>
      <c r="E65" s="1" t="s">
        <v>340</v>
      </c>
      <c r="F65" s="3" t="s">
        <v>960</v>
      </c>
      <c r="G65" s="2" t="s">
        <v>444</v>
      </c>
      <c r="H65" s="1" t="s">
        <v>265</v>
      </c>
      <c r="I65" s="5" t="s">
        <v>425</v>
      </c>
      <c r="J65" s="1" t="s">
        <v>266</v>
      </c>
      <c r="K65" s="2" t="s">
        <v>427</v>
      </c>
      <c r="L65" s="1" t="s">
        <v>8</v>
      </c>
    </row>
    <row r="66" spans="1:12" x14ac:dyDescent="0.2">
      <c r="A66" s="3" t="s">
        <v>223</v>
      </c>
      <c r="B66" s="1" t="s">
        <v>262</v>
      </c>
      <c r="C66" s="1" t="s">
        <v>328</v>
      </c>
      <c r="D66" s="1" t="s">
        <v>343</v>
      </c>
      <c r="E66" s="1" t="s">
        <v>562</v>
      </c>
      <c r="F66" s="3" t="s">
        <v>961</v>
      </c>
      <c r="G66" s="2" t="s">
        <v>304</v>
      </c>
      <c r="H66" s="1" t="s">
        <v>263</v>
      </c>
      <c r="I66" s="5" t="s">
        <v>490</v>
      </c>
      <c r="J66" s="1" t="s">
        <v>153</v>
      </c>
      <c r="K66" s="2" t="s">
        <v>427</v>
      </c>
      <c r="L66" s="1" t="s">
        <v>17</v>
      </c>
    </row>
    <row r="67" spans="1:12" x14ac:dyDescent="0.2">
      <c r="A67" s="3" t="s">
        <v>223</v>
      </c>
      <c r="B67" s="1" t="s">
        <v>89</v>
      </c>
      <c r="C67" s="1" t="s">
        <v>303</v>
      </c>
      <c r="D67" s="1" t="s">
        <v>338</v>
      </c>
      <c r="E67" s="1" t="s">
        <v>340</v>
      </c>
      <c r="F67" s="3" t="s">
        <v>962</v>
      </c>
      <c r="G67" s="2" t="s">
        <v>449</v>
      </c>
      <c r="H67" s="1" t="s">
        <v>90</v>
      </c>
      <c r="I67" s="5" t="s">
        <v>432</v>
      </c>
      <c r="J67" s="1" t="s">
        <v>91</v>
      </c>
      <c r="K67" s="2" t="s">
        <v>434</v>
      </c>
      <c r="L67" s="1" t="s">
        <v>8</v>
      </c>
    </row>
    <row r="68" spans="1:12" x14ac:dyDescent="0.2">
      <c r="A68" s="3" t="s">
        <v>223</v>
      </c>
      <c r="B68" s="1" t="s">
        <v>92</v>
      </c>
      <c r="C68" s="1" t="s">
        <v>304</v>
      </c>
      <c r="D68" s="1" t="s">
        <v>343</v>
      </c>
      <c r="E68" s="1" t="s">
        <v>562</v>
      </c>
      <c r="F68" s="3" t="s">
        <v>963</v>
      </c>
      <c r="G68" s="2" t="s">
        <v>304</v>
      </c>
      <c r="H68" s="1" t="s">
        <v>93</v>
      </c>
      <c r="I68" s="5" t="s">
        <v>490</v>
      </c>
      <c r="J68" s="1" t="s">
        <v>16</v>
      </c>
      <c r="K68" s="2" t="s">
        <v>427</v>
      </c>
      <c r="L68" s="1" t="s">
        <v>17</v>
      </c>
    </row>
    <row r="69" spans="1:12" x14ac:dyDescent="0.2">
      <c r="A69" s="3" t="s">
        <v>223</v>
      </c>
      <c r="B69" s="1" t="s">
        <v>94</v>
      </c>
      <c r="C69" s="1" t="s">
        <v>305</v>
      </c>
      <c r="D69" s="1" t="s">
        <v>341</v>
      </c>
      <c r="E69" s="1" t="s">
        <v>340</v>
      </c>
      <c r="F69" s="3" t="s">
        <v>964</v>
      </c>
      <c r="G69" s="2" t="s">
        <v>305</v>
      </c>
      <c r="H69" s="1" t="s">
        <v>95</v>
      </c>
      <c r="I69" s="5" t="s">
        <v>425</v>
      </c>
      <c r="J69" s="1" t="s">
        <v>96</v>
      </c>
      <c r="K69" s="2" t="s">
        <v>428</v>
      </c>
      <c r="L69" s="1" t="s">
        <v>8</v>
      </c>
    </row>
    <row r="70" spans="1:12" x14ac:dyDescent="0.2">
      <c r="A70" s="3" t="s">
        <v>214</v>
      </c>
      <c r="B70" s="1" t="s">
        <v>59</v>
      </c>
      <c r="C70" s="1" t="s">
        <v>279</v>
      </c>
      <c r="D70" s="1" t="s">
        <v>338</v>
      </c>
      <c r="E70" s="1" t="s">
        <v>346</v>
      </c>
      <c r="F70" s="3" t="s">
        <v>965</v>
      </c>
      <c r="G70" s="2" t="s">
        <v>444</v>
      </c>
      <c r="H70" s="1" t="s">
        <v>60</v>
      </c>
      <c r="I70" s="5" t="s">
        <v>425</v>
      </c>
      <c r="J70" s="1" t="s">
        <v>24</v>
      </c>
      <c r="K70" s="2" t="s">
        <v>427</v>
      </c>
      <c r="L70" s="1" t="s">
        <v>5</v>
      </c>
    </row>
    <row r="71" spans="1:12" x14ac:dyDescent="0.2">
      <c r="A71" s="3" t="s">
        <v>214</v>
      </c>
      <c r="B71" s="1" t="s">
        <v>56</v>
      </c>
      <c r="C71" s="1" t="s">
        <v>278</v>
      </c>
      <c r="D71" s="1" t="s">
        <v>338</v>
      </c>
      <c r="E71" s="1" t="s">
        <v>346</v>
      </c>
      <c r="F71" s="3" t="s">
        <v>966</v>
      </c>
      <c r="G71" s="2" t="s">
        <v>444</v>
      </c>
      <c r="H71" s="1" t="s">
        <v>57</v>
      </c>
      <c r="I71" s="5" t="s">
        <v>425</v>
      </c>
      <c r="J71" s="1" t="s">
        <v>58</v>
      </c>
      <c r="K71" s="2" t="s">
        <v>427</v>
      </c>
      <c r="L71" s="1" t="s">
        <v>5</v>
      </c>
    </row>
    <row r="72" spans="1:12" x14ac:dyDescent="0.2">
      <c r="A72" s="3" t="s">
        <v>214</v>
      </c>
      <c r="B72" s="1" t="s">
        <v>61</v>
      </c>
      <c r="C72" s="1" t="s">
        <v>280</v>
      </c>
      <c r="D72" s="1" t="s">
        <v>338</v>
      </c>
      <c r="E72" s="1" t="s">
        <v>346</v>
      </c>
      <c r="F72" s="3" t="s">
        <v>967</v>
      </c>
      <c r="G72" s="2" t="s">
        <v>450</v>
      </c>
      <c r="H72" s="1" t="s">
        <v>62</v>
      </c>
      <c r="I72" s="5" t="s">
        <v>425</v>
      </c>
      <c r="J72" s="1" t="s">
        <v>24</v>
      </c>
      <c r="K72" s="2" t="s">
        <v>427</v>
      </c>
      <c r="L72" s="1" t="s">
        <v>10</v>
      </c>
    </row>
  </sheetData>
  <phoneticPr fontId="2" type="noConversion"/>
  <pageMargins left="0.25" right="0.25" top="0.75" bottom="0.75" header="0.3" footer="0.3"/>
  <pageSetup scale="34" orientation="landscape" horizontalDpi="0" verticalDpi="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6284D-F5C2-064E-8E7A-40D4114F9E4A}">
  <dimension ref="A1:F44"/>
  <sheetViews>
    <sheetView workbookViewId="0">
      <selection sqref="A1:A1048576"/>
    </sheetView>
  </sheetViews>
  <sheetFormatPr baseColWidth="10" defaultRowHeight="16" x14ac:dyDescent="0.2"/>
  <cols>
    <col min="1" max="1" width="33.33203125" customWidth="1"/>
    <col min="2" max="2" width="20" customWidth="1"/>
    <col min="3" max="3" width="28.83203125" bestFit="1" customWidth="1"/>
    <col min="4" max="4" width="90" bestFit="1" customWidth="1"/>
    <col min="5" max="5" width="65.33203125" bestFit="1" customWidth="1"/>
  </cols>
  <sheetData>
    <row r="1" spans="1:6" x14ac:dyDescent="0.2">
      <c r="A1" t="s">
        <v>195</v>
      </c>
      <c r="B1" t="s">
        <v>456</v>
      </c>
      <c r="C1" t="s">
        <v>457</v>
      </c>
      <c r="D1" t="s">
        <v>458</v>
      </c>
      <c r="E1" t="s">
        <v>459</v>
      </c>
      <c r="F1" t="s">
        <v>460</v>
      </c>
    </row>
    <row r="2" spans="1:6" x14ac:dyDescent="0.2">
      <c r="A2" t="s">
        <v>363</v>
      </c>
      <c r="B2" t="s">
        <v>364</v>
      </c>
      <c r="C2" t="s">
        <v>492</v>
      </c>
      <c r="D2" t="s">
        <v>493</v>
      </c>
      <c r="E2" t="s">
        <v>569</v>
      </c>
      <c r="F2" t="s">
        <v>461</v>
      </c>
    </row>
    <row r="3" spans="1:6" x14ac:dyDescent="0.2">
      <c r="A3" t="s">
        <v>366</v>
      </c>
      <c r="B3" t="s">
        <v>367</v>
      </c>
      <c r="C3" t="s">
        <v>493</v>
      </c>
      <c r="D3" t="s">
        <v>563</v>
      </c>
      <c r="E3" t="s">
        <v>494</v>
      </c>
      <c r="F3" t="s">
        <v>462</v>
      </c>
    </row>
    <row r="4" spans="1:6" x14ac:dyDescent="0.2">
      <c r="A4" t="s">
        <v>368</v>
      </c>
      <c r="B4" t="s">
        <v>369</v>
      </c>
      <c r="C4" t="s">
        <v>493</v>
      </c>
      <c r="D4" t="s">
        <v>564</v>
      </c>
      <c r="E4" t="s">
        <v>495</v>
      </c>
      <c r="F4" t="s">
        <v>463</v>
      </c>
    </row>
    <row r="5" spans="1:6" x14ac:dyDescent="0.2">
      <c r="A5" t="s">
        <v>400</v>
      </c>
      <c r="B5" t="s">
        <v>401</v>
      </c>
      <c r="C5" t="s">
        <v>493</v>
      </c>
      <c r="E5" t="s">
        <v>496</v>
      </c>
      <c r="F5" t="s">
        <v>464</v>
      </c>
    </row>
    <row r="6" spans="1:6" x14ac:dyDescent="0.2">
      <c r="A6" t="s">
        <v>403</v>
      </c>
      <c r="B6" t="s">
        <v>404</v>
      </c>
      <c r="C6" t="s">
        <v>465</v>
      </c>
      <c r="D6" t="s">
        <v>493</v>
      </c>
      <c r="E6" t="s">
        <v>570</v>
      </c>
      <c r="F6" t="s">
        <v>466</v>
      </c>
    </row>
    <row r="7" spans="1:6" x14ac:dyDescent="0.2">
      <c r="A7" t="s">
        <v>193</v>
      </c>
      <c r="B7" t="s">
        <v>467</v>
      </c>
      <c r="C7" t="s">
        <v>493</v>
      </c>
      <c r="D7" t="s">
        <v>563</v>
      </c>
      <c r="E7" t="s">
        <v>497</v>
      </c>
      <c r="F7" t="s">
        <v>468</v>
      </c>
    </row>
    <row r="8" spans="1:6" x14ac:dyDescent="0.2">
      <c r="A8" t="s">
        <v>194</v>
      </c>
      <c r="B8" t="s">
        <v>372</v>
      </c>
      <c r="C8" t="s">
        <v>563</v>
      </c>
      <c r="D8" t="s">
        <v>493</v>
      </c>
      <c r="E8" t="s">
        <v>498</v>
      </c>
      <c r="F8" t="s">
        <v>469</v>
      </c>
    </row>
    <row r="9" spans="1:6" x14ac:dyDescent="0.2">
      <c r="A9" t="s">
        <v>373</v>
      </c>
      <c r="B9" t="s">
        <v>374</v>
      </c>
      <c r="C9" t="s">
        <v>499</v>
      </c>
      <c r="D9" t="s">
        <v>566</v>
      </c>
      <c r="E9" t="s">
        <v>500</v>
      </c>
      <c r="F9" t="s">
        <v>470</v>
      </c>
    </row>
    <row r="10" spans="1:6" x14ac:dyDescent="0.2">
      <c r="A10" t="s">
        <v>375</v>
      </c>
      <c r="B10" t="s">
        <v>376</v>
      </c>
      <c r="C10" t="s">
        <v>499</v>
      </c>
      <c r="D10" t="s">
        <v>563</v>
      </c>
      <c r="E10" t="s">
        <v>501</v>
      </c>
      <c r="F10" t="s">
        <v>471</v>
      </c>
    </row>
    <row r="11" spans="1:6" x14ac:dyDescent="0.2">
      <c r="A11" t="s">
        <v>377</v>
      </c>
      <c r="B11" t="s">
        <v>378</v>
      </c>
      <c r="C11" t="s">
        <v>563</v>
      </c>
      <c r="D11" t="s">
        <v>493</v>
      </c>
      <c r="E11" t="s">
        <v>571</v>
      </c>
      <c r="F11" t="s">
        <v>472</v>
      </c>
    </row>
    <row r="12" spans="1:6" x14ac:dyDescent="0.2">
      <c r="A12" t="s">
        <v>380</v>
      </c>
      <c r="B12" t="s">
        <v>485</v>
      </c>
      <c r="C12" t="s">
        <v>473</v>
      </c>
      <c r="D12" t="s">
        <v>566</v>
      </c>
      <c r="E12" t="s">
        <v>502</v>
      </c>
      <c r="F12" t="s">
        <v>474</v>
      </c>
    </row>
    <row r="13" spans="1:6" x14ac:dyDescent="0.2">
      <c r="A13" t="s">
        <v>381</v>
      </c>
      <c r="B13" t="s">
        <v>382</v>
      </c>
      <c r="C13" t="s">
        <v>564</v>
      </c>
      <c r="D13" t="s">
        <v>503</v>
      </c>
      <c r="E13" t="s">
        <v>504</v>
      </c>
      <c r="F13" t="s">
        <v>475</v>
      </c>
    </row>
    <row r="14" spans="1:6" x14ac:dyDescent="0.2">
      <c r="A14" t="s">
        <v>624</v>
      </c>
      <c r="B14" t="s">
        <v>625</v>
      </c>
      <c r="C14" t="s">
        <v>563</v>
      </c>
      <c r="D14" t="s">
        <v>508</v>
      </c>
      <c r="E14" t="s">
        <v>647</v>
      </c>
      <c r="F14" t="s">
        <v>648</v>
      </c>
    </row>
    <row r="15" spans="1:6" x14ac:dyDescent="0.2">
      <c r="A15" t="s">
        <v>628</v>
      </c>
      <c r="B15" t="s">
        <v>629</v>
      </c>
      <c r="C15" t="s">
        <v>563</v>
      </c>
      <c r="D15" t="s">
        <v>649</v>
      </c>
      <c r="E15" t="s">
        <v>650</v>
      </c>
      <c r="F15" t="s">
        <v>651</v>
      </c>
    </row>
    <row r="16" spans="1:6" x14ac:dyDescent="0.2">
      <c r="A16" t="s">
        <v>632</v>
      </c>
      <c r="B16" t="s">
        <v>633</v>
      </c>
      <c r="C16" t="s">
        <v>563</v>
      </c>
      <c r="D16" t="s">
        <v>652</v>
      </c>
      <c r="E16" t="s">
        <v>653</v>
      </c>
      <c r="F16" t="s">
        <v>476</v>
      </c>
    </row>
    <row r="17" spans="1:6" x14ac:dyDescent="0.2">
      <c r="A17" t="s">
        <v>384</v>
      </c>
      <c r="B17" t="s">
        <v>385</v>
      </c>
      <c r="C17" t="s">
        <v>465</v>
      </c>
      <c r="D17" t="s">
        <v>567</v>
      </c>
      <c r="E17" t="s">
        <v>572</v>
      </c>
      <c r="F17" t="s">
        <v>477</v>
      </c>
    </row>
    <row r="18" spans="1:6" x14ac:dyDescent="0.2">
      <c r="A18" t="s">
        <v>387</v>
      </c>
      <c r="B18" t="s">
        <v>388</v>
      </c>
      <c r="C18" t="s">
        <v>565</v>
      </c>
      <c r="D18" t="s">
        <v>563</v>
      </c>
      <c r="E18" t="s">
        <v>505</v>
      </c>
      <c r="F18" t="s">
        <v>478</v>
      </c>
    </row>
    <row r="19" spans="1:6" x14ac:dyDescent="0.2">
      <c r="A19" t="s">
        <v>623</v>
      </c>
      <c r="B19" t="s">
        <v>390</v>
      </c>
      <c r="C19" t="s">
        <v>473</v>
      </c>
      <c r="D19" t="s">
        <v>568</v>
      </c>
      <c r="E19" t="s">
        <v>506</v>
      </c>
      <c r="F19" t="s">
        <v>479</v>
      </c>
    </row>
    <row r="20" spans="1:6" x14ac:dyDescent="0.2">
      <c r="A20" t="s">
        <v>392</v>
      </c>
      <c r="B20" t="s">
        <v>393</v>
      </c>
      <c r="C20" t="s">
        <v>493</v>
      </c>
      <c r="D20" t="s">
        <v>480</v>
      </c>
      <c r="E20" t="s">
        <v>507</v>
      </c>
      <c r="F20" t="s">
        <v>481</v>
      </c>
    </row>
    <row r="21" spans="1:6" x14ac:dyDescent="0.2">
      <c r="A21" t="s">
        <v>636</v>
      </c>
      <c r="B21" t="s">
        <v>637</v>
      </c>
      <c r="C21" t="s">
        <v>565</v>
      </c>
      <c r="D21" t="s">
        <v>563</v>
      </c>
      <c r="E21" t="s">
        <v>654</v>
      </c>
      <c r="F21" t="s">
        <v>655</v>
      </c>
    </row>
    <row r="22" spans="1:6" x14ac:dyDescent="0.2">
      <c r="A22" t="s">
        <v>605</v>
      </c>
      <c r="B22" t="s">
        <v>656</v>
      </c>
      <c r="C22" t="s">
        <v>564</v>
      </c>
      <c r="D22" t="s">
        <v>657</v>
      </c>
      <c r="E22" t="s">
        <v>658</v>
      </c>
      <c r="F22" t="s">
        <v>659</v>
      </c>
    </row>
    <row r="23" spans="1:6" x14ac:dyDescent="0.2">
      <c r="A23" t="s">
        <v>606</v>
      </c>
      <c r="B23" t="s">
        <v>660</v>
      </c>
      <c r="C23" t="s">
        <v>564</v>
      </c>
      <c r="D23" t="s">
        <v>657</v>
      </c>
      <c r="E23" t="s">
        <v>661</v>
      </c>
      <c r="F23" t="s">
        <v>662</v>
      </c>
    </row>
    <row r="24" spans="1:6" x14ac:dyDescent="0.2">
      <c r="A24" t="s">
        <v>604</v>
      </c>
      <c r="B24" t="s">
        <v>663</v>
      </c>
      <c r="C24" t="s">
        <v>473</v>
      </c>
      <c r="D24" t="s">
        <v>664</v>
      </c>
      <c r="E24" t="s">
        <v>665</v>
      </c>
      <c r="F24" t="s">
        <v>666</v>
      </c>
    </row>
    <row r="25" spans="1:6" x14ac:dyDescent="0.2">
      <c r="A25" t="s">
        <v>640</v>
      </c>
      <c r="B25" t="s">
        <v>667</v>
      </c>
      <c r="C25" t="s">
        <v>564</v>
      </c>
      <c r="D25" t="s">
        <v>668</v>
      </c>
      <c r="E25" t="s">
        <v>669</v>
      </c>
      <c r="F25" t="s">
        <v>670</v>
      </c>
    </row>
    <row r="26" spans="1:6" x14ac:dyDescent="0.2">
      <c r="A26" t="s">
        <v>656</v>
      </c>
      <c r="B26" t="s">
        <v>564</v>
      </c>
      <c r="C26" t="s">
        <v>657</v>
      </c>
      <c r="D26" t="s">
        <v>658</v>
      </c>
      <c r="E26" t="s">
        <v>659</v>
      </c>
    </row>
    <row r="27" spans="1:6" x14ac:dyDescent="0.2">
      <c r="A27" t="s">
        <v>660</v>
      </c>
      <c r="B27" t="s">
        <v>564</v>
      </c>
      <c r="C27" t="s">
        <v>657</v>
      </c>
      <c r="D27" t="s">
        <v>661</v>
      </c>
      <c r="E27" t="s">
        <v>662</v>
      </c>
    </row>
    <row r="28" spans="1:6" x14ac:dyDescent="0.2">
      <c r="A28" t="s">
        <v>663</v>
      </c>
      <c r="B28" t="s">
        <v>473</v>
      </c>
      <c r="C28" t="s">
        <v>664</v>
      </c>
      <c r="D28" t="s">
        <v>665</v>
      </c>
      <c r="E28" t="s">
        <v>666</v>
      </c>
    </row>
    <row r="29" spans="1:6" x14ac:dyDescent="0.2">
      <c r="A29" t="s">
        <v>667</v>
      </c>
      <c r="B29" t="s">
        <v>564</v>
      </c>
      <c r="C29" t="s">
        <v>668</v>
      </c>
      <c r="D29" t="s">
        <v>669</v>
      </c>
      <c r="E29" t="s">
        <v>670</v>
      </c>
    </row>
    <row r="44" spans="1:3" x14ac:dyDescent="0.2">
      <c r="A44" s="6">
        <f>SUM(A34:A42)</f>
        <v>0</v>
      </c>
      <c r="B44" s="6">
        <f>SUM(B34:B42)</f>
        <v>0</v>
      </c>
      <c r="C44">
        <f>SUM(C34:C42)</f>
        <v>0</v>
      </c>
    </row>
  </sheetData>
  <pageMargins left="0.7" right="0.7" top="0.75" bottom="0.75" header="0.3" footer="0.3"/>
  <pageSetup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CDDA1-1AE3-224F-B635-3F90812AF57F}">
  <dimension ref="A1:E9"/>
  <sheetViews>
    <sheetView zoomScale="130" zoomScaleNormal="130" workbookViewId="0">
      <selection sqref="A1:A1048576"/>
    </sheetView>
  </sheetViews>
  <sheetFormatPr baseColWidth="10" defaultRowHeight="16" x14ac:dyDescent="0.2"/>
  <cols>
    <col min="1" max="1" width="41.5" bestFit="1" customWidth="1"/>
    <col min="2" max="2" width="12.5" bestFit="1" customWidth="1"/>
    <col min="3" max="3" width="13.1640625" bestFit="1" customWidth="1"/>
    <col min="4" max="4" width="60.33203125" bestFit="1" customWidth="1"/>
  </cols>
  <sheetData>
    <row r="1" spans="1:5" x14ac:dyDescent="0.2">
      <c r="A1" t="s">
        <v>530</v>
      </c>
      <c r="B1" t="s">
        <v>531</v>
      </c>
      <c r="C1" t="s">
        <v>687</v>
      </c>
      <c r="D1" t="s">
        <v>512</v>
      </c>
      <c r="E1" t="s">
        <v>532</v>
      </c>
    </row>
    <row r="2" spans="1:5" x14ac:dyDescent="0.2">
      <c r="A2" t="s">
        <v>533</v>
      </c>
      <c r="B2" t="s">
        <v>534</v>
      </c>
      <c r="C2">
        <v>549500</v>
      </c>
      <c r="D2" t="s">
        <v>513</v>
      </c>
      <c r="E2" t="s">
        <v>535</v>
      </c>
    </row>
    <row r="3" spans="1:5" x14ac:dyDescent="0.2">
      <c r="A3" t="s">
        <v>536</v>
      </c>
      <c r="B3" t="s">
        <v>537</v>
      </c>
      <c r="C3">
        <v>6.5000000000000002E-2</v>
      </c>
      <c r="D3" t="s">
        <v>538</v>
      </c>
      <c r="E3" t="s">
        <v>539</v>
      </c>
    </row>
    <row r="4" spans="1:5" x14ac:dyDescent="0.2">
      <c r="A4" s="7" t="s">
        <v>540</v>
      </c>
      <c r="B4" s="7" t="s">
        <v>541</v>
      </c>
      <c r="C4" s="7">
        <v>0.05</v>
      </c>
      <c r="D4" s="7" t="s">
        <v>538</v>
      </c>
      <c r="E4" s="7" t="s">
        <v>542</v>
      </c>
    </row>
    <row r="5" spans="1:5" x14ac:dyDescent="0.2">
      <c r="A5" t="s">
        <v>543</v>
      </c>
      <c r="B5" s="9" t="s">
        <v>544</v>
      </c>
      <c r="C5">
        <v>30</v>
      </c>
      <c r="D5" t="s">
        <v>545</v>
      </c>
      <c r="E5" t="s">
        <v>546</v>
      </c>
    </row>
    <row r="6" spans="1:5" x14ac:dyDescent="0.2">
      <c r="A6" t="s">
        <v>547</v>
      </c>
      <c r="B6" t="s">
        <v>548</v>
      </c>
      <c r="C6">
        <v>217.51</v>
      </c>
      <c r="D6" t="s">
        <v>549</v>
      </c>
      <c r="E6" t="s">
        <v>550</v>
      </c>
    </row>
    <row r="7" spans="1:5" x14ac:dyDescent="0.2">
      <c r="A7" t="s">
        <v>609</v>
      </c>
      <c r="B7" t="s">
        <v>610</v>
      </c>
      <c r="C7">
        <v>5.0000000000000001E-3</v>
      </c>
      <c r="D7" t="s">
        <v>538</v>
      </c>
      <c r="E7" t="s">
        <v>611</v>
      </c>
    </row>
    <row r="8" spans="1:5" x14ac:dyDescent="0.2">
      <c r="A8" t="s">
        <v>551</v>
      </c>
      <c r="B8" t="s">
        <v>552</v>
      </c>
      <c r="C8">
        <v>3299.55</v>
      </c>
      <c r="D8" t="s">
        <v>514</v>
      </c>
      <c r="E8" t="s">
        <v>553</v>
      </c>
    </row>
    <row r="9" spans="1:5" x14ac:dyDescent="0.2">
      <c r="A9" t="s">
        <v>554</v>
      </c>
      <c r="B9" s="9" t="s">
        <v>555</v>
      </c>
      <c r="C9">
        <v>4662.0600000000004</v>
      </c>
      <c r="D9" t="s">
        <v>514</v>
      </c>
      <c r="E9" t="s">
        <v>971</v>
      </c>
    </row>
  </sheetData>
  <pageMargins left="0.7" right="0.7" top="0.75" bottom="0.75" header="0.3" footer="0.3"/>
  <pageSetup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9F0C7-6546-9941-8D12-522EF2043243}">
  <dimension ref="A1:C56"/>
  <sheetViews>
    <sheetView workbookViewId="0">
      <selection sqref="A1:A1048576"/>
    </sheetView>
  </sheetViews>
  <sheetFormatPr baseColWidth="10" defaultRowHeight="16" x14ac:dyDescent="0.2"/>
  <cols>
    <col min="1" max="2" width="25" customWidth="1"/>
  </cols>
  <sheetData>
    <row r="1" spans="1:3" x14ac:dyDescent="0.2">
      <c r="A1" t="s">
        <v>689</v>
      </c>
      <c r="B1" t="s">
        <v>690</v>
      </c>
      <c r="C1" t="s">
        <v>691</v>
      </c>
    </row>
    <row r="2" spans="1:3" x14ac:dyDescent="0.2">
      <c r="A2" t="s">
        <v>211</v>
      </c>
      <c r="B2" t="s">
        <v>363</v>
      </c>
      <c r="C2" t="s">
        <v>692</v>
      </c>
    </row>
    <row r="3" spans="1:3" x14ac:dyDescent="0.2">
      <c r="A3" s="7" t="s">
        <v>211</v>
      </c>
      <c r="B3" s="7" t="s">
        <v>403</v>
      </c>
      <c r="C3" t="s">
        <v>693</v>
      </c>
    </row>
    <row r="4" spans="1:3" x14ac:dyDescent="0.2">
      <c r="A4" t="s">
        <v>211</v>
      </c>
      <c r="B4" t="s">
        <v>193</v>
      </c>
      <c r="C4" t="s">
        <v>693</v>
      </c>
    </row>
    <row r="5" spans="1:3" x14ac:dyDescent="0.2">
      <c r="A5" t="s">
        <v>212</v>
      </c>
      <c r="B5" t="s">
        <v>368</v>
      </c>
      <c r="C5" t="s">
        <v>692</v>
      </c>
    </row>
    <row r="6" spans="1:3" x14ac:dyDescent="0.2">
      <c r="A6" t="s">
        <v>212</v>
      </c>
      <c r="B6" t="s">
        <v>381</v>
      </c>
      <c r="C6" t="s">
        <v>693</v>
      </c>
    </row>
    <row r="7" spans="1:3" x14ac:dyDescent="0.2">
      <c r="A7" t="s">
        <v>213</v>
      </c>
      <c r="B7" t="s">
        <v>400</v>
      </c>
      <c r="C7" t="s">
        <v>692</v>
      </c>
    </row>
    <row r="8" spans="1:3" x14ac:dyDescent="0.2">
      <c r="A8" t="s">
        <v>213</v>
      </c>
      <c r="B8" t="s">
        <v>194</v>
      </c>
      <c r="C8" t="s">
        <v>693</v>
      </c>
    </row>
    <row r="9" spans="1:3" x14ac:dyDescent="0.2">
      <c r="A9" t="s">
        <v>214</v>
      </c>
      <c r="B9" t="s">
        <v>403</v>
      </c>
      <c r="C9" t="s">
        <v>692</v>
      </c>
    </row>
    <row r="10" spans="1:3" x14ac:dyDescent="0.2">
      <c r="A10" t="s">
        <v>214</v>
      </c>
      <c r="B10" t="s">
        <v>193</v>
      </c>
      <c r="C10" t="s">
        <v>693</v>
      </c>
    </row>
    <row r="11" spans="1:3" x14ac:dyDescent="0.2">
      <c r="A11" t="s">
        <v>215</v>
      </c>
      <c r="B11" t="s">
        <v>193</v>
      </c>
      <c r="C11" t="s">
        <v>692</v>
      </c>
    </row>
    <row r="12" spans="1:3" x14ac:dyDescent="0.2">
      <c r="A12" t="s">
        <v>362</v>
      </c>
      <c r="B12" t="s">
        <v>193</v>
      </c>
      <c r="C12" t="s">
        <v>692</v>
      </c>
    </row>
    <row r="13" spans="1:3" x14ac:dyDescent="0.2">
      <c r="A13" t="s">
        <v>362</v>
      </c>
      <c r="B13" t="s">
        <v>363</v>
      </c>
      <c r="C13" t="s">
        <v>693</v>
      </c>
    </row>
    <row r="14" spans="1:3" x14ac:dyDescent="0.2">
      <c r="A14" t="s">
        <v>216</v>
      </c>
      <c r="B14" t="s">
        <v>193</v>
      </c>
      <c r="C14" t="s">
        <v>692</v>
      </c>
    </row>
    <row r="15" spans="1:3" x14ac:dyDescent="0.2">
      <c r="A15" t="s">
        <v>216</v>
      </c>
      <c r="B15" t="s">
        <v>403</v>
      </c>
      <c r="C15" t="s">
        <v>693</v>
      </c>
    </row>
    <row r="16" spans="1:3" x14ac:dyDescent="0.2">
      <c r="A16" t="s">
        <v>217</v>
      </c>
      <c r="B16" t="s">
        <v>193</v>
      </c>
      <c r="C16" t="s">
        <v>692</v>
      </c>
    </row>
    <row r="17" spans="1:3" x14ac:dyDescent="0.2">
      <c r="A17" t="s">
        <v>217</v>
      </c>
      <c r="B17" t="s">
        <v>363</v>
      </c>
      <c r="C17" t="s">
        <v>693</v>
      </c>
    </row>
    <row r="18" spans="1:3" x14ac:dyDescent="0.2">
      <c r="A18" t="s">
        <v>218</v>
      </c>
      <c r="B18" t="s">
        <v>194</v>
      </c>
      <c r="C18" t="s">
        <v>692</v>
      </c>
    </row>
    <row r="19" spans="1:3" x14ac:dyDescent="0.2">
      <c r="A19" t="s">
        <v>218</v>
      </c>
      <c r="B19" t="s">
        <v>368</v>
      </c>
      <c r="C19" t="s">
        <v>693</v>
      </c>
    </row>
    <row r="20" spans="1:3" x14ac:dyDescent="0.2">
      <c r="A20" t="s">
        <v>421</v>
      </c>
      <c r="B20" t="s">
        <v>194</v>
      </c>
      <c r="C20" t="s">
        <v>692</v>
      </c>
    </row>
    <row r="21" spans="1:3" x14ac:dyDescent="0.2">
      <c r="A21" t="s">
        <v>421</v>
      </c>
      <c r="B21" t="s">
        <v>368</v>
      </c>
      <c r="C21" t="s">
        <v>693</v>
      </c>
    </row>
    <row r="22" spans="1:3" x14ac:dyDescent="0.2">
      <c r="A22" t="s">
        <v>219</v>
      </c>
      <c r="B22" t="s">
        <v>194</v>
      </c>
      <c r="C22" t="s">
        <v>692</v>
      </c>
    </row>
    <row r="23" spans="1:3" x14ac:dyDescent="0.2">
      <c r="A23" t="s">
        <v>219</v>
      </c>
      <c r="B23" t="s">
        <v>373</v>
      </c>
      <c r="C23" t="s">
        <v>693</v>
      </c>
    </row>
    <row r="24" spans="1:3" x14ac:dyDescent="0.2">
      <c r="A24" t="s">
        <v>220</v>
      </c>
      <c r="B24" t="s">
        <v>373</v>
      </c>
      <c r="C24" t="s">
        <v>692</v>
      </c>
    </row>
    <row r="25" spans="1:3" x14ac:dyDescent="0.2">
      <c r="A25" t="s">
        <v>220</v>
      </c>
      <c r="B25" t="s">
        <v>375</v>
      </c>
      <c r="C25" t="s">
        <v>692</v>
      </c>
    </row>
    <row r="26" spans="1:3" x14ac:dyDescent="0.2">
      <c r="A26" t="s">
        <v>220</v>
      </c>
      <c r="B26" t="s">
        <v>194</v>
      </c>
      <c r="C26" t="s">
        <v>693</v>
      </c>
    </row>
    <row r="27" spans="1:3" x14ac:dyDescent="0.2">
      <c r="A27" t="s">
        <v>220</v>
      </c>
      <c r="B27" t="s">
        <v>381</v>
      </c>
      <c r="C27" t="s">
        <v>693</v>
      </c>
    </row>
    <row r="28" spans="1:3" x14ac:dyDescent="0.2">
      <c r="A28" t="s">
        <v>221</v>
      </c>
      <c r="B28" t="s">
        <v>373</v>
      </c>
      <c r="C28" t="s">
        <v>692</v>
      </c>
    </row>
    <row r="29" spans="1:3" x14ac:dyDescent="0.2">
      <c r="A29" t="s">
        <v>221</v>
      </c>
      <c r="B29" t="s">
        <v>375</v>
      </c>
      <c r="C29" t="s">
        <v>693</v>
      </c>
    </row>
    <row r="30" spans="1:3" x14ac:dyDescent="0.2">
      <c r="A30" t="s">
        <v>222</v>
      </c>
      <c r="B30" t="s">
        <v>373</v>
      </c>
      <c r="C30" t="s">
        <v>692</v>
      </c>
    </row>
    <row r="31" spans="1:3" x14ac:dyDescent="0.2">
      <c r="A31" t="s">
        <v>222</v>
      </c>
      <c r="B31" t="s">
        <v>193</v>
      </c>
      <c r="C31" t="s">
        <v>693</v>
      </c>
    </row>
    <row r="32" spans="1:3" x14ac:dyDescent="0.2">
      <c r="A32" t="s">
        <v>423</v>
      </c>
      <c r="B32" t="s">
        <v>381</v>
      </c>
      <c r="C32" t="s">
        <v>692</v>
      </c>
    </row>
    <row r="33" spans="1:3" x14ac:dyDescent="0.2">
      <c r="A33" t="s">
        <v>423</v>
      </c>
      <c r="B33" t="s">
        <v>368</v>
      </c>
      <c r="C33" t="s">
        <v>693</v>
      </c>
    </row>
    <row r="34" spans="1:3" x14ac:dyDescent="0.2">
      <c r="A34" t="s">
        <v>223</v>
      </c>
      <c r="B34" t="s">
        <v>381</v>
      </c>
      <c r="C34" t="s">
        <v>692</v>
      </c>
    </row>
    <row r="35" spans="1:3" x14ac:dyDescent="0.2">
      <c r="A35" t="s">
        <v>223</v>
      </c>
      <c r="B35" t="s">
        <v>624</v>
      </c>
      <c r="C35" t="s">
        <v>693</v>
      </c>
    </row>
    <row r="36" spans="1:3" x14ac:dyDescent="0.2">
      <c r="A36" t="s">
        <v>224</v>
      </c>
      <c r="B36" t="s">
        <v>392</v>
      </c>
      <c r="C36" t="s">
        <v>692</v>
      </c>
    </row>
    <row r="37" spans="1:3" x14ac:dyDescent="0.2">
      <c r="A37" t="s">
        <v>225</v>
      </c>
      <c r="B37" t="s">
        <v>623</v>
      </c>
      <c r="C37" t="s">
        <v>692</v>
      </c>
    </row>
    <row r="38" spans="1:3" x14ac:dyDescent="0.2">
      <c r="A38" t="s">
        <v>225</v>
      </c>
      <c r="B38" t="s">
        <v>381</v>
      </c>
      <c r="C38" t="s">
        <v>693</v>
      </c>
    </row>
    <row r="39" spans="1:3" x14ac:dyDescent="0.2">
      <c r="A39" t="s">
        <v>225</v>
      </c>
      <c r="B39" t="s">
        <v>387</v>
      </c>
      <c r="C39" t="s">
        <v>693</v>
      </c>
    </row>
    <row r="40" spans="1:3" x14ac:dyDescent="0.2">
      <c r="A40" t="s">
        <v>227</v>
      </c>
      <c r="B40" t="s">
        <v>384</v>
      </c>
      <c r="C40" t="s">
        <v>692</v>
      </c>
    </row>
    <row r="41" spans="1:3" x14ac:dyDescent="0.2">
      <c r="A41" t="s">
        <v>227</v>
      </c>
      <c r="B41" t="s">
        <v>387</v>
      </c>
      <c r="C41" t="s">
        <v>693</v>
      </c>
    </row>
    <row r="42" spans="1:3" x14ac:dyDescent="0.2">
      <c r="A42" t="s">
        <v>226</v>
      </c>
      <c r="B42" t="s">
        <v>387</v>
      </c>
      <c r="C42" t="s">
        <v>692</v>
      </c>
    </row>
    <row r="43" spans="1:3" x14ac:dyDescent="0.2">
      <c r="A43" t="s">
        <v>226</v>
      </c>
      <c r="B43" t="s">
        <v>373</v>
      </c>
      <c r="C43" t="s">
        <v>693</v>
      </c>
    </row>
    <row r="44" spans="1:3" x14ac:dyDescent="0.2">
      <c r="A44" t="s">
        <v>487</v>
      </c>
      <c r="B44" t="s">
        <v>623</v>
      </c>
      <c r="C44" t="s">
        <v>692</v>
      </c>
    </row>
    <row r="45" spans="1:3" x14ac:dyDescent="0.2">
      <c r="A45" t="s">
        <v>487</v>
      </c>
      <c r="B45" t="s">
        <v>381</v>
      </c>
      <c r="C45" t="s">
        <v>693</v>
      </c>
    </row>
    <row r="46" spans="1:3" x14ac:dyDescent="0.2">
      <c r="A46" t="s">
        <v>671</v>
      </c>
      <c r="B46" t="s">
        <v>606</v>
      </c>
      <c r="C46" t="s">
        <v>692</v>
      </c>
    </row>
    <row r="47" spans="1:3" x14ac:dyDescent="0.2">
      <c r="A47" t="s">
        <v>671</v>
      </c>
      <c r="B47" t="s">
        <v>605</v>
      </c>
      <c r="C47" t="s">
        <v>693</v>
      </c>
    </row>
    <row r="48" spans="1:3" x14ac:dyDescent="0.2">
      <c r="A48" t="s">
        <v>674</v>
      </c>
      <c r="B48" t="s">
        <v>640</v>
      </c>
      <c r="C48" t="s">
        <v>692</v>
      </c>
    </row>
    <row r="49" spans="1:3" x14ac:dyDescent="0.2">
      <c r="A49" t="s">
        <v>227</v>
      </c>
      <c r="B49" t="s">
        <v>373</v>
      </c>
      <c r="C49" t="s">
        <v>694</v>
      </c>
    </row>
    <row r="50" spans="1:3" x14ac:dyDescent="0.2">
      <c r="A50" t="s">
        <v>227</v>
      </c>
      <c r="B50" t="s">
        <v>375</v>
      </c>
      <c r="C50" t="s">
        <v>694</v>
      </c>
    </row>
    <row r="51" spans="1:3" x14ac:dyDescent="0.2">
      <c r="A51" t="s">
        <v>227</v>
      </c>
      <c r="B51" t="s">
        <v>194</v>
      </c>
      <c r="C51" t="s">
        <v>694</v>
      </c>
    </row>
    <row r="52" spans="1:3" x14ac:dyDescent="0.2">
      <c r="A52" t="s">
        <v>226</v>
      </c>
      <c r="B52" t="s">
        <v>375</v>
      </c>
      <c r="C52" t="s">
        <v>694</v>
      </c>
    </row>
    <row r="53" spans="1:3" x14ac:dyDescent="0.2">
      <c r="A53" t="s">
        <v>226</v>
      </c>
      <c r="B53" t="s">
        <v>194</v>
      </c>
      <c r="C53" t="s">
        <v>694</v>
      </c>
    </row>
    <row r="54" spans="1:3" x14ac:dyDescent="0.2">
      <c r="A54" t="s">
        <v>226</v>
      </c>
      <c r="B54" t="s">
        <v>373</v>
      </c>
      <c r="C54" t="s">
        <v>694</v>
      </c>
    </row>
    <row r="55" spans="1:3" x14ac:dyDescent="0.2">
      <c r="A55" t="s">
        <v>194</v>
      </c>
      <c r="B55" t="s">
        <v>694</v>
      </c>
    </row>
    <row r="56" spans="1:3" x14ac:dyDescent="0.2">
      <c r="A56" t="s">
        <v>373</v>
      </c>
      <c r="B56" t="s">
        <v>694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375C3-670D-E24A-A438-C7479AB081F1}">
  <dimension ref="A1:C47"/>
  <sheetViews>
    <sheetView workbookViewId="0">
      <selection sqref="A1:A1048576"/>
    </sheetView>
  </sheetViews>
  <sheetFormatPr baseColWidth="10" defaultRowHeight="16" x14ac:dyDescent="0.2"/>
  <cols>
    <col min="1" max="1" width="50" customWidth="1"/>
  </cols>
  <sheetData>
    <row r="1" spans="1:3" x14ac:dyDescent="0.2">
      <c r="A1" t="s">
        <v>972</v>
      </c>
      <c r="B1" t="s">
        <v>973</v>
      </c>
      <c r="C1" t="s">
        <v>695</v>
      </c>
    </row>
    <row r="2" spans="1:3" x14ac:dyDescent="0.2">
      <c r="A2" t="s">
        <v>974</v>
      </c>
      <c r="B2" t="s">
        <v>22</v>
      </c>
      <c r="C2" t="s">
        <v>696</v>
      </c>
    </row>
    <row r="3" spans="1:3" x14ac:dyDescent="0.2">
      <c r="A3" t="s">
        <v>974</v>
      </c>
      <c r="B3" t="s">
        <v>23</v>
      </c>
      <c r="C3" t="s">
        <v>697</v>
      </c>
    </row>
    <row r="4" spans="1:3" x14ac:dyDescent="0.2">
      <c r="A4" t="s">
        <v>974</v>
      </c>
      <c r="B4" t="s">
        <v>603</v>
      </c>
      <c r="C4" t="s">
        <v>698</v>
      </c>
    </row>
    <row r="5" spans="1:3" x14ac:dyDescent="0.2">
      <c r="A5" s="7" t="s">
        <v>974</v>
      </c>
      <c r="B5" t="s">
        <v>25</v>
      </c>
      <c r="C5" t="s">
        <v>699</v>
      </c>
    </row>
    <row r="6" spans="1:3" x14ac:dyDescent="0.2">
      <c r="A6" t="s">
        <v>975</v>
      </c>
      <c r="B6" t="s">
        <v>338</v>
      </c>
      <c r="C6" t="s">
        <v>573</v>
      </c>
    </row>
    <row r="7" spans="1:3" x14ac:dyDescent="0.2">
      <c r="A7" t="s">
        <v>975</v>
      </c>
      <c r="B7" t="s">
        <v>342</v>
      </c>
      <c r="C7" t="s">
        <v>574</v>
      </c>
    </row>
    <row r="8" spans="1:3" x14ac:dyDescent="0.2">
      <c r="A8" t="s">
        <v>975</v>
      </c>
      <c r="B8" t="s">
        <v>345</v>
      </c>
      <c r="C8" t="s">
        <v>575</v>
      </c>
    </row>
    <row r="9" spans="1:3" x14ac:dyDescent="0.2">
      <c r="A9" t="s">
        <v>975</v>
      </c>
      <c r="B9" t="s">
        <v>341</v>
      </c>
      <c r="C9" t="s">
        <v>576</v>
      </c>
    </row>
    <row r="10" spans="1:3" x14ac:dyDescent="0.2">
      <c r="A10" t="s">
        <v>975</v>
      </c>
      <c r="B10" t="s">
        <v>358</v>
      </c>
      <c r="C10" t="s">
        <v>577</v>
      </c>
    </row>
    <row r="11" spans="1:3" x14ac:dyDescent="0.2">
      <c r="A11" t="s">
        <v>975</v>
      </c>
      <c r="B11" t="s">
        <v>343</v>
      </c>
      <c r="C11" t="s">
        <v>578</v>
      </c>
    </row>
    <row r="12" spans="1:3" x14ac:dyDescent="0.2">
      <c r="A12" s="7" t="s">
        <v>976</v>
      </c>
      <c r="B12" t="s">
        <v>339</v>
      </c>
      <c r="C12" t="s">
        <v>579</v>
      </c>
    </row>
    <row r="13" spans="1:3" x14ac:dyDescent="0.2">
      <c r="A13" t="s">
        <v>976</v>
      </c>
      <c r="B13" t="s">
        <v>340</v>
      </c>
      <c r="C13" t="s">
        <v>580</v>
      </c>
    </row>
    <row r="14" spans="1:3" x14ac:dyDescent="0.2">
      <c r="A14" t="s">
        <v>976</v>
      </c>
      <c r="B14" t="s">
        <v>346</v>
      </c>
      <c r="C14" t="s">
        <v>581</v>
      </c>
    </row>
    <row r="15" spans="1:3" x14ac:dyDescent="0.2">
      <c r="A15" t="s">
        <v>976</v>
      </c>
      <c r="B15" t="s">
        <v>489</v>
      </c>
      <c r="C15" t="s">
        <v>582</v>
      </c>
    </row>
    <row r="16" spans="1:3" x14ac:dyDescent="0.2">
      <c r="A16" t="s">
        <v>976</v>
      </c>
      <c r="B16" t="s">
        <v>344</v>
      </c>
      <c r="C16" t="s">
        <v>583</v>
      </c>
    </row>
    <row r="17" spans="1:3" x14ac:dyDescent="0.2">
      <c r="A17" t="s">
        <v>976</v>
      </c>
      <c r="B17" t="s">
        <v>584</v>
      </c>
      <c r="C17" t="s">
        <v>585</v>
      </c>
    </row>
    <row r="18" spans="1:3" x14ac:dyDescent="0.2">
      <c r="A18" t="s">
        <v>976</v>
      </c>
      <c r="B18" t="s">
        <v>562</v>
      </c>
      <c r="C18" t="s">
        <v>586</v>
      </c>
    </row>
    <row r="19" spans="1:3" x14ac:dyDescent="0.2">
      <c r="A19" t="s">
        <v>977</v>
      </c>
      <c r="B19" t="s">
        <v>425</v>
      </c>
      <c r="C19" t="s">
        <v>700</v>
      </c>
    </row>
    <row r="20" spans="1:3" x14ac:dyDescent="0.2">
      <c r="A20" t="s">
        <v>977</v>
      </c>
      <c r="B20" t="s">
        <v>432</v>
      </c>
      <c r="C20" t="s">
        <v>701</v>
      </c>
    </row>
    <row r="21" spans="1:3" x14ac:dyDescent="0.2">
      <c r="A21" s="7" t="s">
        <v>977</v>
      </c>
      <c r="B21" t="s">
        <v>491</v>
      </c>
      <c r="C21" t="s">
        <v>702</v>
      </c>
    </row>
    <row r="22" spans="1:3" x14ac:dyDescent="0.2">
      <c r="A22" t="s">
        <v>977</v>
      </c>
      <c r="B22" t="s">
        <v>429</v>
      </c>
      <c r="C22" t="s">
        <v>703</v>
      </c>
    </row>
    <row r="23" spans="1:3" x14ac:dyDescent="0.2">
      <c r="A23" t="s">
        <v>977</v>
      </c>
      <c r="B23" t="s">
        <v>490</v>
      </c>
      <c r="C23" t="s">
        <v>704</v>
      </c>
    </row>
    <row r="24" spans="1:3" x14ac:dyDescent="0.2">
      <c r="A24" t="s">
        <v>978</v>
      </c>
      <c r="B24" t="s">
        <v>434</v>
      </c>
      <c r="C24" t="s">
        <v>705</v>
      </c>
    </row>
    <row r="25" spans="1:3" x14ac:dyDescent="0.2">
      <c r="A25" t="s">
        <v>978</v>
      </c>
      <c r="B25" t="s">
        <v>427</v>
      </c>
      <c r="C25" t="s">
        <v>706</v>
      </c>
    </row>
    <row r="26" spans="1:3" x14ac:dyDescent="0.2">
      <c r="A26" t="s">
        <v>978</v>
      </c>
      <c r="B26" t="s">
        <v>428</v>
      </c>
      <c r="C26" t="s">
        <v>707</v>
      </c>
    </row>
    <row r="27" spans="1:3" x14ac:dyDescent="0.2">
      <c r="A27" t="s">
        <v>979</v>
      </c>
      <c r="B27" t="s">
        <v>27</v>
      </c>
      <c r="C27" t="s">
        <v>587</v>
      </c>
    </row>
    <row r="28" spans="1:3" x14ac:dyDescent="0.2">
      <c r="A28" t="s">
        <v>979</v>
      </c>
      <c r="B28" t="s">
        <v>28</v>
      </c>
      <c r="C28" t="s">
        <v>588</v>
      </c>
    </row>
    <row r="29" spans="1:3" x14ac:dyDescent="0.2">
      <c r="A29" t="s">
        <v>979</v>
      </c>
      <c r="B29" t="s">
        <v>515</v>
      </c>
      <c r="C29" t="s">
        <v>589</v>
      </c>
    </row>
    <row r="30" spans="1:3" x14ac:dyDescent="0.2">
      <c r="A30" t="s">
        <v>979</v>
      </c>
      <c r="B30" t="s">
        <v>424</v>
      </c>
      <c r="C30" t="s">
        <v>708</v>
      </c>
    </row>
    <row r="31" spans="1:3" x14ac:dyDescent="0.2">
      <c r="A31" s="7" t="s">
        <v>980</v>
      </c>
      <c r="B31" t="s">
        <v>419</v>
      </c>
      <c r="C31" t="s">
        <v>590</v>
      </c>
    </row>
    <row r="32" spans="1:3" x14ac:dyDescent="0.2">
      <c r="A32" t="s">
        <v>980</v>
      </c>
      <c r="B32" t="s">
        <v>422</v>
      </c>
      <c r="C32" t="s">
        <v>591</v>
      </c>
    </row>
    <row r="33" spans="1:3" x14ac:dyDescent="0.2">
      <c r="A33" t="s">
        <v>980</v>
      </c>
      <c r="B33" t="s">
        <v>420</v>
      </c>
      <c r="C33" t="s">
        <v>592</v>
      </c>
    </row>
    <row r="34" spans="1:3" x14ac:dyDescent="0.2">
      <c r="A34" t="s">
        <v>981</v>
      </c>
      <c r="B34" t="s">
        <v>493</v>
      </c>
      <c r="C34" t="s">
        <v>593</v>
      </c>
    </row>
    <row r="35" spans="1:3" x14ac:dyDescent="0.2">
      <c r="A35" t="s">
        <v>981</v>
      </c>
      <c r="B35" t="s">
        <v>465</v>
      </c>
      <c r="C35" t="s">
        <v>594</v>
      </c>
    </row>
    <row r="36" spans="1:3" x14ac:dyDescent="0.2">
      <c r="A36" t="s">
        <v>981</v>
      </c>
      <c r="B36" t="s">
        <v>563</v>
      </c>
      <c r="C36" t="s">
        <v>595</v>
      </c>
    </row>
    <row r="37" spans="1:3" x14ac:dyDescent="0.2">
      <c r="A37" t="s">
        <v>981</v>
      </c>
      <c r="B37" t="s">
        <v>564</v>
      </c>
      <c r="C37" t="s">
        <v>596</v>
      </c>
    </row>
    <row r="38" spans="1:3" x14ac:dyDescent="0.2">
      <c r="A38" t="s">
        <v>981</v>
      </c>
      <c r="B38" t="s">
        <v>473</v>
      </c>
      <c r="C38" t="s">
        <v>597</v>
      </c>
    </row>
    <row r="39" spans="1:3" x14ac:dyDescent="0.2">
      <c r="A39" s="7" t="s">
        <v>981</v>
      </c>
      <c r="B39" t="s">
        <v>565</v>
      </c>
      <c r="C39" t="s">
        <v>598</v>
      </c>
    </row>
    <row r="40" spans="1:3" x14ac:dyDescent="0.2">
      <c r="A40" t="s">
        <v>981</v>
      </c>
      <c r="B40" t="s">
        <v>492</v>
      </c>
      <c r="C40" t="s">
        <v>599</v>
      </c>
    </row>
    <row r="41" spans="1:3" x14ac:dyDescent="0.2">
      <c r="A41" t="s">
        <v>981</v>
      </c>
      <c r="B41" t="s">
        <v>499</v>
      </c>
      <c r="C41" t="s">
        <v>600</v>
      </c>
    </row>
    <row r="42" spans="1:3" x14ac:dyDescent="0.2">
      <c r="A42" t="s">
        <v>981</v>
      </c>
      <c r="B42" t="s">
        <v>508</v>
      </c>
      <c r="C42" t="s">
        <v>601</v>
      </c>
    </row>
    <row r="43" spans="1:3" x14ac:dyDescent="0.2">
      <c r="A43" t="s">
        <v>981</v>
      </c>
      <c r="B43" t="s">
        <v>480</v>
      </c>
      <c r="C43" t="s">
        <v>602</v>
      </c>
    </row>
    <row r="44" spans="1:3" x14ac:dyDescent="0.2">
      <c r="A44" t="s">
        <v>981</v>
      </c>
      <c r="B44" t="s">
        <v>709</v>
      </c>
      <c r="C44" t="s">
        <v>710</v>
      </c>
    </row>
    <row r="45" spans="1:3" x14ac:dyDescent="0.2">
      <c r="A45" s="7" t="s">
        <v>982</v>
      </c>
      <c r="B45" t="s">
        <v>692</v>
      </c>
      <c r="C45" t="s">
        <v>711</v>
      </c>
    </row>
    <row r="46" spans="1:3" x14ac:dyDescent="0.2">
      <c r="A46" t="s">
        <v>982</v>
      </c>
      <c r="B46" t="s">
        <v>693</v>
      </c>
      <c r="C46" t="s">
        <v>712</v>
      </c>
    </row>
    <row r="47" spans="1:3" x14ac:dyDescent="0.2">
      <c r="A47" t="s">
        <v>982</v>
      </c>
      <c r="B47" t="s">
        <v>694</v>
      </c>
      <c r="C47" t="s">
        <v>713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7100E-6F29-B444-9121-CC39747BC70D}">
  <dimension ref="A1:E14"/>
  <sheetViews>
    <sheetView workbookViewId="0">
      <selection sqref="A1:A1048576"/>
    </sheetView>
  </sheetViews>
  <sheetFormatPr baseColWidth="10" defaultRowHeight="16" x14ac:dyDescent="0.2"/>
  <cols>
    <col min="1" max="3" width="30" customWidth="1"/>
  </cols>
  <sheetData>
    <row r="1" spans="1:5" x14ac:dyDescent="0.2">
      <c r="A1" t="s">
        <v>983</v>
      </c>
      <c r="B1" t="s">
        <v>714</v>
      </c>
      <c r="C1" t="s">
        <v>695</v>
      </c>
      <c r="D1" t="s">
        <v>715</v>
      </c>
      <c r="E1" t="s">
        <v>716</v>
      </c>
    </row>
    <row r="2" spans="1:5" x14ac:dyDescent="0.2">
      <c r="A2" t="s">
        <v>984</v>
      </c>
      <c r="B2" t="s">
        <v>717</v>
      </c>
      <c r="C2" t="s">
        <v>718</v>
      </c>
      <c r="D2">
        <v>1400</v>
      </c>
      <c r="E2" t="s">
        <v>719</v>
      </c>
    </row>
    <row r="3" spans="1:5" x14ac:dyDescent="0.2">
      <c r="A3" t="s">
        <v>984</v>
      </c>
      <c r="B3" t="s">
        <v>720</v>
      </c>
      <c r="C3" t="s">
        <v>721</v>
      </c>
      <c r="D3">
        <v>3</v>
      </c>
      <c r="E3" t="s">
        <v>722</v>
      </c>
    </row>
    <row r="4" spans="1:5" x14ac:dyDescent="0.2">
      <c r="A4" t="s">
        <v>984</v>
      </c>
      <c r="B4" t="s">
        <v>723</v>
      </c>
      <c r="C4" t="s">
        <v>724</v>
      </c>
      <c r="D4">
        <v>2.5</v>
      </c>
      <c r="E4" t="s">
        <v>725</v>
      </c>
    </row>
    <row r="5" spans="1:5" x14ac:dyDescent="0.2">
      <c r="A5" t="s">
        <v>984</v>
      </c>
      <c r="B5" t="s">
        <v>726</v>
      </c>
      <c r="C5" t="s">
        <v>727</v>
      </c>
      <c r="D5">
        <v>1</v>
      </c>
      <c r="E5" t="s">
        <v>728</v>
      </c>
    </row>
    <row r="6" spans="1:5" x14ac:dyDescent="0.2">
      <c r="A6" s="7" t="s">
        <v>984</v>
      </c>
      <c r="B6" s="7" t="s">
        <v>729</v>
      </c>
      <c r="C6" s="7" t="s">
        <v>730</v>
      </c>
      <c r="D6" s="7" t="s">
        <v>731</v>
      </c>
    </row>
    <row r="7" spans="1:5" x14ac:dyDescent="0.2">
      <c r="A7" t="s">
        <v>985</v>
      </c>
      <c r="B7" t="s">
        <v>732</v>
      </c>
      <c r="C7" t="s">
        <v>537</v>
      </c>
      <c r="D7">
        <v>6.5000000000000002E-2</v>
      </c>
      <c r="E7" t="s">
        <v>538</v>
      </c>
    </row>
    <row r="8" spans="1:5" x14ac:dyDescent="0.2">
      <c r="A8" t="s">
        <v>985</v>
      </c>
      <c r="B8" t="s">
        <v>733</v>
      </c>
      <c r="C8" t="s">
        <v>734</v>
      </c>
      <c r="D8">
        <v>0.05</v>
      </c>
      <c r="E8" t="s">
        <v>538</v>
      </c>
    </row>
    <row r="9" spans="1:5" x14ac:dyDescent="0.2">
      <c r="A9" t="s">
        <v>985</v>
      </c>
      <c r="B9" t="s">
        <v>735</v>
      </c>
      <c r="C9" t="s">
        <v>736</v>
      </c>
      <c r="D9">
        <v>30</v>
      </c>
      <c r="E9" t="s">
        <v>545</v>
      </c>
    </row>
    <row r="10" spans="1:5" x14ac:dyDescent="0.2">
      <c r="A10" t="s">
        <v>985</v>
      </c>
      <c r="B10" t="s">
        <v>737</v>
      </c>
      <c r="C10" t="s">
        <v>610</v>
      </c>
      <c r="D10">
        <v>5.0000000000000001E-3</v>
      </c>
      <c r="E10" t="s">
        <v>538</v>
      </c>
    </row>
    <row r="11" spans="1:5" x14ac:dyDescent="0.2">
      <c r="A11" t="s">
        <v>985</v>
      </c>
      <c r="B11" t="s">
        <v>738</v>
      </c>
      <c r="C11" t="s">
        <v>739</v>
      </c>
      <c r="D11">
        <v>0.03</v>
      </c>
      <c r="E11" t="s">
        <v>538</v>
      </c>
    </row>
    <row r="12" spans="1:5" x14ac:dyDescent="0.2">
      <c r="A12" t="s">
        <v>986</v>
      </c>
      <c r="B12" t="s">
        <v>740</v>
      </c>
      <c r="C12" t="s">
        <v>741</v>
      </c>
      <c r="D12">
        <v>0.04</v>
      </c>
      <c r="E12" t="s">
        <v>742</v>
      </c>
    </row>
    <row r="13" spans="1:5" x14ac:dyDescent="0.2">
      <c r="A13" t="s">
        <v>986</v>
      </c>
      <c r="B13" t="s">
        <v>743</v>
      </c>
      <c r="C13" t="s">
        <v>744</v>
      </c>
      <c r="D13">
        <v>2.5000000000000001E-2</v>
      </c>
      <c r="E13" t="s">
        <v>742</v>
      </c>
    </row>
    <row r="14" spans="1:5" x14ac:dyDescent="0.2">
      <c r="A14" s="7" t="s">
        <v>986</v>
      </c>
      <c r="B14" s="7" t="s">
        <v>745</v>
      </c>
      <c r="C14" s="7" t="s">
        <v>746</v>
      </c>
      <c r="D14">
        <v>2025</v>
      </c>
      <c r="E14" s="7" t="s">
        <v>747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06E74-9069-504E-84E4-D65BE1B5E051}">
  <dimension ref="A2:A236"/>
  <sheetViews>
    <sheetView workbookViewId="0">
      <selection sqref="A1:A1048576"/>
    </sheetView>
  </sheetViews>
  <sheetFormatPr baseColWidth="10" defaultRowHeight="16" x14ac:dyDescent="0.2"/>
  <cols>
    <col min="1" max="1" width="100" customWidth="1"/>
  </cols>
  <sheetData>
    <row r="2" spans="1:1" ht="22" x14ac:dyDescent="0.3">
      <c r="A2" s="10" t="s">
        <v>896</v>
      </c>
    </row>
    <row r="4" spans="1:1" x14ac:dyDescent="0.2">
      <c r="A4" s="11" t="s">
        <v>748</v>
      </c>
    </row>
    <row r="5" spans="1:1" x14ac:dyDescent="0.2">
      <c r="A5" s="11" t="e" cm="1">
        <f t="array" ref="A5">-- HOUSING COST FRAMEWORK _xlnm.Database SCHEMA</f>
        <v>#NAME?</v>
      </c>
    </row>
    <row r="6" spans="1:1" x14ac:dyDescent="0.2">
      <c r="A6" s="11" t="s">
        <v>748</v>
      </c>
    </row>
    <row r="7" spans="1:1" x14ac:dyDescent="0.2">
      <c r="A7" s="11"/>
    </row>
    <row r="8" spans="1:1" x14ac:dyDescent="0.2">
      <c r="A8" s="12" t="s">
        <v>749</v>
      </c>
    </row>
    <row r="9" spans="1:1" x14ac:dyDescent="0.2">
      <c r="A9" s="11"/>
    </row>
    <row r="10" spans="1:1" x14ac:dyDescent="0.2">
      <c r="A10" s="11" t="s">
        <v>750</v>
      </c>
    </row>
    <row r="11" spans="1:1" x14ac:dyDescent="0.2">
      <c r="A11" s="11" t="s">
        <v>751</v>
      </c>
    </row>
    <row r="12" spans="1:1" x14ac:dyDescent="0.2">
      <c r="A12" s="11" t="s">
        <v>752</v>
      </c>
    </row>
    <row r="13" spans="1:1" x14ac:dyDescent="0.2">
      <c r="A13" s="11" t="s">
        <v>753</v>
      </c>
    </row>
    <row r="14" spans="1:1" x14ac:dyDescent="0.2">
      <c r="A14" s="11"/>
    </row>
    <row r="15" spans="1:1" x14ac:dyDescent="0.2">
      <c r="A15" s="11" t="s">
        <v>754</v>
      </c>
    </row>
    <row r="16" spans="1:1" x14ac:dyDescent="0.2">
      <c r="A16" s="11" t="s">
        <v>755</v>
      </c>
    </row>
    <row r="17" spans="1:1" x14ac:dyDescent="0.2">
      <c r="A17" s="11" t="s">
        <v>752</v>
      </c>
    </row>
    <row r="18" spans="1:1" x14ac:dyDescent="0.2">
      <c r="A18" s="11" t="s">
        <v>753</v>
      </c>
    </row>
    <row r="19" spans="1:1" x14ac:dyDescent="0.2">
      <c r="A19" s="11"/>
    </row>
    <row r="20" spans="1:1" x14ac:dyDescent="0.2">
      <c r="A20" s="11" t="s">
        <v>756</v>
      </c>
    </row>
    <row r="21" spans="1:1" x14ac:dyDescent="0.2">
      <c r="A21" s="11" t="s">
        <v>757</v>
      </c>
    </row>
    <row r="22" spans="1:1" x14ac:dyDescent="0.2">
      <c r="A22" s="11" t="s">
        <v>752</v>
      </c>
    </row>
    <row r="23" spans="1:1" x14ac:dyDescent="0.2">
      <c r="A23" s="11" t="s">
        <v>753</v>
      </c>
    </row>
    <row r="24" spans="1:1" x14ac:dyDescent="0.2">
      <c r="A24" s="11"/>
    </row>
    <row r="25" spans="1:1" x14ac:dyDescent="0.2">
      <c r="A25" s="11" t="s">
        <v>758</v>
      </c>
    </row>
    <row r="26" spans="1:1" x14ac:dyDescent="0.2">
      <c r="A26" s="11" t="s">
        <v>759</v>
      </c>
    </row>
    <row r="27" spans="1:1" x14ac:dyDescent="0.2">
      <c r="A27" s="11" t="s">
        <v>752</v>
      </c>
    </row>
    <row r="28" spans="1:1" x14ac:dyDescent="0.2">
      <c r="A28" s="11" t="s">
        <v>753</v>
      </c>
    </row>
    <row r="29" spans="1:1" x14ac:dyDescent="0.2">
      <c r="A29" s="11"/>
    </row>
    <row r="30" spans="1:1" x14ac:dyDescent="0.2">
      <c r="A30" s="11" t="s">
        <v>760</v>
      </c>
    </row>
    <row r="31" spans="1:1" x14ac:dyDescent="0.2">
      <c r="A31" s="11" t="s">
        <v>761</v>
      </c>
    </row>
    <row r="32" spans="1:1" x14ac:dyDescent="0.2">
      <c r="A32" s="11" t="s">
        <v>752</v>
      </c>
    </row>
    <row r="33" spans="1:1" x14ac:dyDescent="0.2">
      <c r="A33" s="11" t="s">
        <v>753</v>
      </c>
    </row>
    <row r="34" spans="1:1" x14ac:dyDescent="0.2">
      <c r="A34" s="11"/>
    </row>
    <row r="35" spans="1:1" x14ac:dyDescent="0.2">
      <c r="A35" s="11" t="s">
        <v>762</v>
      </c>
    </row>
    <row r="36" spans="1:1" x14ac:dyDescent="0.2">
      <c r="A36" s="11" t="s">
        <v>763</v>
      </c>
    </row>
    <row r="37" spans="1:1" x14ac:dyDescent="0.2">
      <c r="A37" s="11" t="s">
        <v>752</v>
      </c>
    </row>
    <row r="38" spans="1:1" x14ac:dyDescent="0.2">
      <c r="A38" s="11" t="s">
        <v>753</v>
      </c>
    </row>
    <row r="39" spans="1:1" x14ac:dyDescent="0.2">
      <c r="A39" s="11"/>
    </row>
    <row r="40" spans="1:1" x14ac:dyDescent="0.2">
      <c r="A40" s="11" t="s">
        <v>764</v>
      </c>
    </row>
    <row r="41" spans="1:1" x14ac:dyDescent="0.2">
      <c r="A41" s="11" t="s">
        <v>765</v>
      </c>
    </row>
    <row r="42" spans="1:1" x14ac:dyDescent="0.2">
      <c r="A42" s="11" t="s">
        <v>752</v>
      </c>
    </row>
    <row r="43" spans="1:1" x14ac:dyDescent="0.2">
      <c r="A43" s="11" t="s">
        <v>753</v>
      </c>
    </row>
    <row r="44" spans="1:1" x14ac:dyDescent="0.2">
      <c r="A44" s="11"/>
    </row>
    <row r="45" spans="1:1" x14ac:dyDescent="0.2">
      <c r="A45" s="11" t="s">
        <v>766</v>
      </c>
    </row>
    <row r="46" spans="1:1" x14ac:dyDescent="0.2">
      <c r="A46" s="11" t="s">
        <v>767</v>
      </c>
    </row>
    <row r="47" spans="1:1" x14ac:dyDescent="0.2">
      <c r="A47" s="11" t="s">
        <v>752</v>
      </c>
    </row>
    <row r="48" spans="1:1" x14ac:dyDescent="0.2">
      <c r="A48" s="11" t="s">
        <v>753</v>
      </c>
    </row>
    <row r="49" spans="1:1" x14ac:dyDescent="0.2">
      <c r="A49" s="11"/>
    </row>
    <row r="50" spans="1:1" x14ac:dyDescent="0.2">
      <c r="A50" s="12" t="e" cm="1">
        <f t="array" ref="A50">-- CORE DATA TABLES</f>
        <v>#NAME?</v>
      </c>
    </row>
    <row r="51" spans="1:1" x14ac:dyDescent="0.2">
      <c r="A51" s="11"/>
    </row>
    <row r="52" spans="1:1" x14ac:dyDescent="0.2">
      <c r="A52" s="11" t="s">
        <v>768</v>
      </c>
    </row>
    <row r="53" spans="1:1" x14ac:dyDescent="0.2">
      <c r="A53" s="11" t="s">
        <v>769</v>
      </c>
    </row>
    <row r="54" spans="1:1" x14ac:dyDescent="0.2">
      <c r="A54" s="11" t="s">
        <v>770</v>
      </c>
    </row>
    <row r="55" spans="1:1" x14ac:dyDescent="0.2">
      <c r="A55" s="11" t="s">
        <v>771</v>
      </c>
    </row>
    <row r="56" spans="1:1" x14ac:dyDescent="0.2">
      <c r="A56" s="11" t="s">
        <v>772</v>
      </c>
    </row>
    <row r="57" spans="1:1" x14ac:dyDescent="0.2">
      <c r="A57" s="11" t="s">
        <v>773</v>
      </c>
    </row>
    <row r="58" spans="1:1" x14ac:dyDescent="0.2">
      <c r="A58" s="11" t="s">
        <v>774</v>
      </c>
    </row>
    <row r="59" spans="1:1" x14ac:dyDescent="0.2">
      <c r="A59" s="11" t="s">
        <v>775</v>
      </c>
    </row>
    <row r="60" spans="1:1" x14ac:dyDescent="0.2">
      <c r="A60" s="11" t="s">
        <v>776</v>
      </c>
    </row>
    <row r="61" spans="1:1" x14ac:dyDescent="0.2">
      <c r="A61" s="11" t="s">
        <v>777</v>
      </c>
    </row>
    <row r="62" spans="1:1" x14ac:dyDescent="0.2">
      <c r="A62" s="11" t="s">
        <v>778</v>
      </c>
    </row>
    <row r="63" spans="1:1" x14ac:dyDescent="0.2">
      <c r="A63" s="11" t="s">
        <v>753</v>
      </c>
    </row>
    <row r="64" spans="1:1" x14ac:dyDescent="0.2">
      <c r="A64" s="11"/>
    </row>
    <row r="65" spans="1:1" x14ac:dyDescent="0.2">
      <c r="A65" s="11" t="s">
        <v>779</v>
      </c>
    </row>
    <row r="66" spans="1:1" x14ac:dyDescent="0.2">
      <c r="A66" s="11" t="s">
        <v>780</v>
      </c>
    </row>
    <row r="67" spans="1:1" x14ac:dyDescent="0.2">
      <c r="A67" s="11" t="s">
        <v>771</v>
      </c>
    </row>
    <row r="68" spans="1:1" x14ac:dyDescent="0.2">
      <c r="A68" s="11" t="s">
        <v>781</v>
      </c>
    </row>
    <row r="69" spans="1:1" x14ac:dyDescent="0.2">
      <c r="A69" s="11" t="s">
        <v>774</v>
      </c>
    </row>
    <row r="70" spans="1:1" x14ac:dyDescent="0.2">
      <c r="A70" s="11" t="s">
        <v>775</v>
      </c>
    </row>
    <row r="71" spans="1:1" x14ac:dyDescent="0.2">
      <c r="A71" s="11" t="s">
        <v>770</v>
      </c>
    </row>
    <row r="72" spans="1:1" x14ac:dyDescent="0.2">
      <c r="A72" s="11" t="s">
        <v>782</v>
      </c>
    </row>
    <row r="73" spans="1:1" x14ac:dyDescent="0.2">
      <c r="A73" s="11" t="s">
        <v>783</v>
      </c>
    </row>
    <row r="74" spans="1:1" x14ac:dyDescent="0.2">
      <c r="A74" s="11" t="s">
        <v>784</v>
      </c>
    </row>
    <row r="75" spans="1:1" x14ac:dyDescent="0.2">
      <c r="A75" s="11" t="s">
        <v>772</v>
      </c>
    </row>
    <row r="76" spans="1:1" x14ac:dyDescent="0.2">
      <c r="A76" s="11" t="s">
        <v>778</v>
      </c>
    </row>
    <row r="77" spans="1:1" x14ac:dyDescent="0.2">
      <c r="A77" s="11" t="s">
        <v>753</v>
      </c>
    </row>
    <row r="78" spans="1:1" x14ac:dyDescent="0.2">
      <c r="A78" s="11"/>
    </row>
    <row r="79" spans="1:1" x14ac:dyDescent="0.2">
      <c r="A79" s="11" t="s">
        <v>785</v>
      </c>
    </row>
    <row r="80" spans="1:1" x14ac:dyDescent="0.2">
      <c r="A80" s="11" t="s">
        <v>786</v>
      </c>
    </row>
    <row r="81" spans="1:1" x14ac:dyDescent="0.2">
      <c r="A81" s="11" t="s">
        <v>787</v>
      </c>
    </row>
    <row r="82" spans="1:1" x14ac:dyDescent="0.2">
      <c r="A82" s="11" t="s">
        <v>771</v>
      </c>
    </row>
    <row r="83" spans="1:1" x14ac:dyDescent="0.2">
      <c r="A83" s="11" t="s">
        <v>788</v>
      </c>
    </row>
    <row r="84" spans="1:1" x14ac:dyDescent="0.2">
      <c r="A84" s="11" t="s">
        <v>789</v>
      </c>
    </row>
    <row r="85" spans="1:1" x14ac:dyDescent="0.2">
      <c r="A85" s="11" t="s">
        <v>790</v>
      </c>
    </row>
    <row r="86" spans="1:1" x14ac:dyDescent="0.2">
      <c r="A86" s="11" t="s">
        <v>791</v>
      </c>
    </row>
    <row r="87" spans="1:1" x14ac:dyDescent="0.2">
      <c r="A87" s="11" t="s">
        <v>792</v>
      </c>
    </row>
    <row r="88" spans="1:1" x14ac:dyDescent="0.2">
      <c r="A88" s="11" t="s">
        <v>793</v>
      </c>
    </row>
    <row r="89" spans="1:1" x14ac:dyDescent="0.2">
      <c r="A89" s="11" t="s">
        <v>794</v>
      </c>
    </row>
    <row r="90" spans="1:1" x14ac:dyDescent="0.2">
      <c r="A90" s="11" t="s">
        <v>795</v>
      </c>
    </row>
    <row r="91" spans="1:1" x14ac:dyDescent="0.2">
      <c r="A91" s="11" t="s">
        <v>753</v>
      </c>
    </row>
    <row r="92" spans="1:1" x14ac:dyDescent="0.2">
      <c r="A92" s="11"/>
    </row>
    <row r="93" spans="1:1" x14ac:dyDescent="0.2">
      <c r="A93" s="12" t="s">
        <v>796</v>
      </c>
    </row>
    <row r="94" spans="1:1" x14ac:dyDescent="0.2">
      <c r="A94" s="11"/>
    </row>
    <row r="95" spans="1:1" x14ac:dyDescent="0.2">
      <c r="A95" s="11" t="s">
        <v>797</v>
      </c>
    </row>
    <row r="96" spans="1:1" x14ac:dyDescent="0.2">
      <c r="A96" s="11" t="s">
        <v>787</v>
      </c>
    </row>
    <row r="97" spans="1:1" x14ac:dyDescent="0.2">
      <c r="A97" s="11" t="s">
        <v>798</v>
      </c>
    </row>
    <row r="98" spans="1:1" x14ac:dyDescent="0.2">
      <c r="A98" s="11" t="s">
        <v>799</v>
      </c>
    </row>
    <row r="99" spans="1:1" x14ac:dyDescent="0.2">
      <c r="A99" s="11" t="s">
        <v>800</v>
      </c>
    </row>
    <row r="100" spans="1:1" x14ac:dyDescent="0.2">
      <c r="A100" s="11" t="s">
        <v>753</v>
      </c>
    </row>
    <row r="101" spans="1:1" x14ac:dyDescent="0.2">
      <c r="A101" s="11"/>
    </row>
    <row r="102" spans="1:1" x14ac:dyDescent="0.2">
      <c r="A102" s="11" t="s">
        <v>801</v>
      </c>
    </row>
    <row r="103" spans="1:1" x14ac:dyDescent="0.2">
      <c r="A103" s="11" t="s">
        <v>798</v>
      </c>
    </row>
    <row r="104" spans="1:1" x14ac:dyDescent="0.2">
      <c r="A104" s="11" t="s">
        <v>802</v>
      </c>
    </row>
    <row r="105" spans="1:1" x14ac:dyDescent="0.2">
      <c r="A105" s="11" t="s">
        <v>803</v>
      </c>
    </row>
    <row r="106" spans="1:1" x14ac:dyDescent="0.2">
      <c r="A106" s="11" t="s">
        <v>804</v>
      </c>
    </row>
    <row r="107" spans="1:1" x14ac:dyDescent="0.2">
      <c r="A107" s="11" t="s">
        <v>772</v>
      </c>
    </row>
    <row r="108" spans="1:1" x14ac:dyDescent="0.2">
      <c r="A108" s="11" t="s">
        <v>805</v>
      </c>
    </row>
    <row r="109" spans="1:1" x14ac:dyDescent="0.2">
      <c r="A109" s="11" t="s">
        <v>753</v>
      </c>
    </row>
    <row r="110" spans="1:1" x14ac:dyDescent="0.2">
      <c r="A110" s="11"/>
    </row>
    <row r="111" spans="1:1" x14ac:dyDescent="0.2">
      <c r="A111" s="11" t="s">
        <v>806</v>
      </c>
    </row>
    <row r="112" spans="1:1" x14ac:dyDescent="0.2">
      <c r="A112" s="11" t="s">
        <v>807</v>
      </c>
    </row>
    <row r="113" spans="1:1" x14ac:dyDescent="0.2">
      <c r="A113" s="11" t="s">
        <v>802</v>
      </c>
    </row>
    <row r="114" spans="1:1" x14ac:dyDescent="0.2">
      <c r="A114" s="11" t="s">
        <v>808</v>
      </c>
    </row>
    <row r="115" spans="1:1" x14ac:dyDescent="0.2">
      <c r="A115" s="11" t="s">
        <v>753</v>
      </c>
    </row>
    <row r="116" spans="1:1" x14ac:dyDescent="0.2">
      <c r="A116" s="11"/>
    </row>
    <row r="117" spans="1:1" x14ac:dyDescent="0.2">
      <c r="A117" s="12" t="e" cm="1">
        <f t="array" ref="A117">-- SCENARIO/ASSUMPTIONS TABLE</f>
        <v>#NAME?</v>
      </c>
    </row>
    <row r="118" spans="1:1" x14ac:dyDescent="0.2">
      <c r="A118" s="11"/>
    </row>
    <row r="119" spans="1:1" x14ac:dyDescent="0.2">
      <c r="A119" s="11" t="s">
        <v>809</v>
      </c>
    </row>
    <row r="120" spans="1:1" x14ac:dyDescent="0.2">
      <c r="A120" s="11" t="s">
        <v>810</v>
      </c>
    </row>
    <row r="121" spans="1:1" x14ac:dyDescent="0.2">
      <c r="A121" s="11" t="s">
        <v>811</v>
      </c>
    </row>
    <row r="122" spans="1:1" x14ac:dyDescent="0.2">
      <c r="A122" s="11" t="s">
        <v>812</v>
      </c>
    </row>
    <row r="123" spans="1:1" x14ac:dyDescent="0.2">
      <c r="A123" s="11" t="s">
        <v>813</v>
      </c>
    </row>
    <row r="124" spans="1:1" x14ac:dyDescent="0.2">
      <c r="A124" s="11" t="s">
        <v>814</v>
      </c>
    </row>
    <row r="125" spans="1:1" x14ac:dyDescent="0.2">
      <c r="A125" s="11" t="s">
        <v>815</v>
      </c>
    </row>
    <row r="126" spans="1:1" x14ac:dyDescent="0.2">
      <c r="A126" s="11" t="s">
        <v>816</v>
      </c>
    </row>
    <row r="127" spans="1:1" x14ac:dyDescent="0.2">
      <c r="A127" s="11" t="s">
        <v>817</v>
      </c>
    </row>
    <row r="128" spans="1:1" x14ac:dyDescent="0.2">
      <c r="A128" s="11" t="s">
        <v>818</v>
      </c>
    </row>
    <row r="129" spans="1:1" x14ac:dyDescent="0.2">
      <c r="A129" s="11" t="s">
        <v>819</v>
      </c>
    </row>
    <row r="130" spans="1:1" x14ac:dyDescent="0.2">
      <c r="A130" s="11" t="s">
        <v>820</v>
      </c>
    </row>
    <row r="131" spans="1:1" x14ac:dyDescent="0.2">
      <c r="A131" s="11" t="s">
        <v>821</v>
      </c>
    </row>
    <row r="132" spans="1:1" x14ac:dyDescent="0.2">
      <c r="A132" s="11" t="s">
        <v>822</v>
      </c>
    </row>
    <row r="133" spans="1:1" x14ac:dyDescent="0.2">
      <c r="A133" s="11" t="s">
        <v>823</v>
      </c>
    </row>
    <row r="134" spans="1:1" x14ac:dyDescent="0.2">
      <c r="A134" s="11" t="s">
        <v>753</v>
      </c>
    </row>
    <row r="135" spans="1:1" x14ac:dyDescent="0.2">
      <c r="A135" s="11"/>
    </row>
    <row r="136" spans="1:1" x14ac:dyDescent="0.2">
      <c r="A136" s="12" t="e" cm="1">
        <f t="array" ref="A136">-- USEFUL INDEXES</f>
        <v>#NAME?</v>
      </c>
    </row>
    <row r="137" spans="1:1" x14ac:dyDescent="0.2">
      <c r="A137" s="11"/>
    </row>
    <row r="138" spans="1:1" x14ac:dyDescent="0.2">
      <c r="A138" s="11" t="s">
        <v>824</v>
      </c>
    </row>
    <row r="139" spans="1:1" x14ac:dyDescent="0.2">
      <c r="A139" s="11" t="s">
        <v>825</v>
      </c>
    </row>
    <row r="140" spans="1:1" x14ac:dyDescent="0.2">
      <c r="A140" s="11" t="s">
        <v>826</v>
      </c>
    </row>
    <row r="141" spans="1:1" x14ac:dyDescent="0.2">
      <c r="A141" s="11" t="s">
        <v>827</v>
      </c>
    </row>
    <row r="142" spans="1:1" x14ac:dyDescent="0.2">
      <c r="A142" s="11" t="s">
        <v>828</v>
      </c>
    </row>
    <row r="143" spans="1:1" x14ac:dyDescent="0.2">
      <c r="A143" s="11" t="s">
        <v>829</v>
      </c>
    </row>
    <row r="144" spans="1:1" x14ac:dyDescent="0.2">
      <c r="A144" s="11" t="s">
        <v>830</v>
      </c>
    </row>
    <row r="145" spans="1:1" x14ac:dyDescent="0.2">
      <c r="A145" s="11" t="s">
        <v>831</v>
      </c>
    </row>
    <row r="148" spans="1:1" x14ac:dyDescent="0.2">
      <c r="A148" s="11"/>
    </row>
    <row r="149" spans="1:1" x14ac:dyDescent="0.2">
      <c r="A149" s="11" t="s">
        <v>748</v>
      </c>
    </row>
    <row r="150" spans="1:1" x14ac:dyDescent="0.2">
      <c r="A150" s="12" t="e" cm="1">
        <f t="array" ref="A150">-- ENTITY-RELATIONSHIP DIAGRAM (ERD)</f>
        <v>#NAME?</v>
      </c>
    </row>
    <row r="151" spans="1:1" x14ac:dyDescent="0.2">
      <c r="A151" s="11" t="s">
        <v>748</v>
      </c>
    </row>
    <row r="152" spans="1:1" x14ac:dyDescent="0.2">
      <c r="A152" s="11"/>
    </row>
    <row r="153" spans="1:1" x14ac:dyDescent="0.2">
      <c r="A153" s="11" t="s">
        <v>832</v>
      </c>
    </row>
    <row r="154" spans="1:1" x14ac:dyDescent="0.2">
      <c r="A154" s="11" t="s">
        <v>833</v>
      </c>
    </row>
    <row r="155" spans="1:1" x14ac:dyDescent="0.2">
      <c r="A155" s="11" t="s">
        <v>834</v>
      </c>
    </row>
    <row r="156" spans="1:1" x14ac:dyDescent="0.2">
      <c r="A156" s="11" t="s">
        <v>835</v>
      </c>
    </row>
    <row r="157" spans="1:1" x14ac:dyDescent="0.2">
      <c r="A157" s="11"/>
    </row>
    <row r="158" spans="1:1" x14ac:dyDescent="0.2">
      <c r="A158" s="11" t="s">
        <v>836</v>
      </c>
    </row>
    <row r="159" spans="1:1" x14ac:dyDescent="0.2">
      <c r="A159" s="11" t="s">
        <v>837</v>
      </c>
    </row>
    <row r="160" spans="1:1" x14ac:dyDescent="0.2">
      <c r="A160" s="11" t="s">
        <v>838</v>
      </c>
    </row>
    <row r="161" spans="1:1" x14ac:dyDescent="0.2">
      <c r="A161" s="11" t="s">
        <v>839</v>
      </c>
    </row>
    <row r="162" spans="1:1" x14ac:dyDescent="0.2">
      <c r="A162" s="11" t="s">
        <v>840</v>
      </c>
    </row>
    <row r="163" spans="1:1" x14ac:dyDescent="0.2">
      <c r="A163" s="11" t="s">
        <v>841</v>
      </c>
    </row>
    <row r="164" spans="1:1" x14ac:dyDescent="0.2">
      <c r="A164" s="11" t="s">
        <v>842</v>
      </c>
    </row>
    <row r="165" spans="1:1" x14ac:dyDescent="0.2">
      <c r="A165" s="11" t="s">
        <v>843</v>
      </c>
    </row>
    <row r="166" spans="1:1" x14ac:dyDescent="0.2">
      <c r="A166" s="11"/>
    </row>
    <row r="167" spans="1:1" x14ac:dyDescent="0.2">
      <c r="A167" s="11" t="s">
        <v>844</v>
      </c>
    </row>
    <row r="168" spans="1:1" x14ac:dyDescent="0.2">
      <c r="A168" s="11" t="s">
        <v>845</v>
      </c>
    </row>
    <row r="169" spans="1:1" x14ac:dyDescent="0.2">
      <c r="A169" s="11" t="s">
        <v>846</v>
      </c>
    </row>
    <row r="170" spans="1:1" x14ac:dyDescent="0.2">
      <c r="A170" s="11" t="s">
        <v>847</v>
      </c>
    </row>
    <row r="171" spans="1:1" x14ac:dyDescent="0.2">
      <c r="A171" s="11" t="s">
        <v>848</v>
      </c>
    </row>
    <row r="172" spans="1:1" x14ac:dyDescent="0.2">
      <c r="A172" s="11" t="s">
        <v>849</v>
      </c>
    </row>
    <row r="173" spans="1:1" x14ac:dyDescent="0.2">
      <c r="A173" s="11" t="s">
        <v>850</v>
      </c>
    </row>
    <row r="174" spans="1:1" x14ac:dyDescent="0.2">
      <c r="A174" s="11" t="s">
        <v>851</v>
      </c>
    </row>
    <row r="175" spans="1:1" x14ac:dyDescent="0.2">
      <c r="A175" s="11" t="s">
        <v>852</v>
      </c>
    </row>
    <row r="176" spans="1:1" x14ac:dyDescent="0.2">
      <c r="A176" s="11" t="s">
        <v>853</v>
      </c>
    </row>
    <row r="177" spans="1:1" x14ac:dyDescent="0.2">
      <c r="A177" s="11" t="s">
        <v>854</v>
      </c>
    </row>
    <row r="178" spans="1:1" x14ac:dyDescent="0.2">
      <c r="A178" s="11" t="s">
        <v>855</v>
      </c>
    </row>
    <row r="179" spans="1:1" x14ac:dyDescent="0.2">
      <c r="A179" s="11" t="s">
        <v>856</v>
      </c>
    </row>
    <row r="180" spans="1:1" x14ac:dyDescent="0.2">
      <c r="A180" s="11" t="s">
        <v>857</v>
      </c>
    </row>
    <row r="181" spans="1:1" x14ac:dyDescent="0.2">
      <c r="A181" s="11" t="s">
        <v>858</v>
      </c>
    </row>
    <row r="182" spans="1:1" x14ac:dyDescent="0.2">
      <c r="A182" s="11" t="s">
        <v>859</v>
      </c>
    </row>
    <row r="183" spans="1:1" x14ac:dyDescent="0.2">
      <c r="A183" s="11" t="s">
        <v>860</v>
      </c>
    </row>
    <row r="184" spans="1:1" x14ac:dyDescent="0.2">
      <c r="A184" s="11" t="s">
        <v>861</v>
      </c>
    </row>
    <row r="185" spans="1:1" x14ac:dyDescent="0.2">
      <c r="A185" s="11"/>
    </row>
    <row r="186" spans="1:1" x14ac:dyDescent="0.2">
      <c r="A186" s="11" t="s">
        <v>862</v>
      </c>
    </row>
    <row r="187" spans="1:1" x14ac:dyDescent="0.2">
      <c r="A187" s="11" t="s">
        <v>863</v>
      </c>
    </row>
    <row r="188" spans="1:1" x14ac:dyDescent="0.2">
      <c r="A188" s="11" t="s">
        <v>856</v>
      </c>
    </row>
    <row r="189" spans="1:1" x14ac:dyDescent="0.2">
      <c r="A189" s="11" t="s">
        <v>864</v>
      </c>
    </row>
    <row r="190" spans="1:1" x14ac:dyDescent="0.2">
      <c r="A190" s="11" t="s">
        <v>865</v>
      </c>
    </row>
    <row r="191" spans="1:1" x14ac:dyDescent="0.2">
      <c r="A191" s="11" t="s">
        <v>866</v>
      </c>
    </row>
    <row r="192" spans="1:1" x14ac:dyDescent="0.2">
      <c r="A192" s="11" t="s">
        <v>867</v>
      </c>
    </row>
    <row r="193" spans="1:1" x14ac:dyDescent="0.2">
      <c r="A193" s="11" t="s">
        <v>868</v>
      </c>
    </row>
    <row r="194" spans="1:1" x14ac:dyDescent="0.2">
      <c r="A194" s="11" t="s">
        <v>869</v>
      </c>
    </row>
    <row r="195" spans="1:1" x14ac:dyDescent="0.2">
      <c r="A195" s="11" t="s">
        <v>870</v>
      </c>
    </row>
    <row r="196" spans="1:1" x14ac:dyDescent="0.2">
      <c r="A196" s="11" t="s">
        <v>871</v>
      </c>
    </row>
    <row r="197" spans="1:1" x14ac:dyDescent="0.2">
      <c r="A197" s="11" t="s">
        <v>872</v>
      </c>
    </row>
    <row r="198" spans="1:1" x14ac:dyDescent="0.2">
      <c r="A198" s="11" t="s">
        <v>873</v>
      </c>
    </row>
    <row r="199" spans="1:1" x14ac:dyDescent="0.2">
      <c r="A199" s="11" t="s">
        <v>874</v>
      </c>
    </row>
    <row r="200" spans="1:1" x14ac:dyDescent="0.2">
      <c r="A200" s="11" t="s">
        <v>875</v>
      </c>
    </row>
    <row r="201" spans="1:1" x14ac:dyDescent="0.2">
      <c r="A201" s="11" t="s">
        <v>876</v>
      </c>
    </row>
    <row r="202" spans="1:1" x14ac:dyDescent="0.2">
      <c r="A202" s="11" t="s">
        <v>877</v>
      </c>
    </row>
    <row r="203" spans="1:1" x14ac:dyDescent="0.2">
      <c r="A203" s="11" t="s">
        <v>878</v>
      </c>
    </row>
    <row r="204" spans="1:1" x14ac:dyDescent="0.2">
      <c r="A204" s="11" t="s">
        <v>867</v>
      </c>
    </row>
    <row r="205" spans="1:1" x14ac:dyDescent="0.2">
      <c r="A205" s="11" t="s">
        <v>868</v>
      </c>
    </row>
    <row r="206" spans="1:1" x14ac:dyDescent="0.2">
      <c r="A206" s="11" t="s">
        <v>869</v>
      </c>
    </row>
    <row r="207" spans="1:1" x14ac:dyDescent="0.2">
      <c r="A207" s="11" t="s">
        <v>862</v>
      </c>
    </row>
    <row r="208" spans="1:1" x14ac:dyDescent="0.2">
      <c r="A208" s="11" t="s">
        <v>879</v>
      </c>
    </row>
    <row r="209" spans="1:1" x14ac:dyDescent="0.2">
      <c r="A209" s="11" t="s">
        <v>856</v>
      </c>
    </row>
    <row r="210" spans="1:1" x14ac:dyDescent="0.2">
      <c r="A210" s="11" t="s">
        <v>880</v>
      </c>
    </row>
    <row r="211" spans="1:1" x14ac:dyDescent="0.2">
      <c r="A211" s="11" t="s">
        <v>864</v>
      </c>
    </row>
    <row r="212" spans="1:1" x14ac:dyDescent="0.2">
      <c r="A212" s="11" t="s">
        <v>881</v>
      </c>
    </row>
    <row r="213" spans="1:1" x14ac:dyDescent="0.2">
      <c r="A213" s="11" t="s">
        <v>882</v>
      </c>
    </row>
    <row r="214" spans="1:1" x14ac:dyDescent="0.2">
      <c r="A214" s="11" t="s">
        <v>883</v>
      </c>
    </row>
    <row r="215" spans="1:1" x14ac:dyDescent="0.2">
      <c r="A215" s="11" t="s">
        <v>884</v>
      </c>
    </row>
    <row r="216" spans="1:1" x14ac:dyDescent="0.2">
      <c r="A216" s="11" t="s">
        <v>885</v>
      </c>
    </row>
    <row r="217" spans="1:1" x14ac:dyDescent="0.2">
      <c r="A217" s="11" t="s">
        <v>886</v>
      </c>
    </row>
    <row r="218" spans="1:1" x14ac:dyDescent="0.2">
      <c r="A218" s="11" t="s">
        <v>867</v>
      </c>
    </row>
    <row r="219" spans="1:1" x14ac:dyDescent="0.2">
      <c r="A219" s="11" t="s">
        <v>868</v>
      </c>
    </row>
    <row r="220" spans="1:1" x14ac:dyDescent="0.2">
      <c r="A220" s="11" t="s">
        <v>887</v>
      </c>
    </row>
    <row r="221" spans="1:1" x14ac:dyDescent="0.2">
      <c r="A221" s="11" t="s">
        <v>888</v>
      </c>
    </row>
    <row r="222" spans="1:1" x14ac:dyDescent="0.2">
      <c r="A222" s="11" t="s">
        <v>856</v>
      </c>
    </row>
    <row r="223" spans="1:1" x14ac:dyDescent="0.2">
      <c r="A223" s="11" t="s">
        <v>889</v>
      </c>
    </row>
    <row r="224" spans="1:1" x14ac:dyDescent="0.2">
      <c r="A224" s="11" t="s">
        <v>890</v>
      </c>
    </row>
    <row r="225" spans="1:1" x14ac:dyDescent="0.2">
      <c r="A225" s="11" t="s">
        <v>861</v>
      </c>
    </row>
    <row r="226" spans="1:1" x14ac:dyDescent="0.2">
      <c r="A226" s="11"/>
    </row>
    <row r="227" spans="1:1" x14ac:dyDescent="0.2">
      <c r="A227" s="12" t="s">
        <v>891</v>
      </c>
    </row>
    <row r="228" spans="1:1" x14ac:dyDescent="0.2">
      <c r="A228" s="11" t="e" cm="1">
        <f t="array" ref="A228">- CRO →1 Barrier (one CRO can have Many barriers)</f>
        <v>#NAME?</v>
      </c>
    </row>
    <row r="229" spans="1:1" x14ac:dyDescent="0.2">
      <c r="A229" s="11" t="s">
        <v>892</v>
      </c>
    </row>
    <row r="230" spans="1:1" x14ac:dyDescent="0.2">
      <c r="A230" s="11" t="s">
        <v>893</v>
      </c>
    </row>
    <row r="231" spans="1:1" x14ac:dyDescent="0.2">
      <c r="A231" s="11" t="e" cm="1">
        <f t="array" ref="A231">- Barrier ↔0..n Actor via BARRIER_AUTHORITY_MAP</f>
        <v>#NAME?</v>
      </c>
    </row>
    <row r="232" spans="1:1" x14ac:dyDescent="0.2">
      <c r="A232" s="11" t="s">
        <v>894</v>
      </c>
    </row>
    <row r="233" spans="1:1" x14ac:dyDescent="0.2">
      <c r="A233" s="11"/>
    </row>
    <row r="234" spans="1:1" x14ac:dyDescent="0.2">
      <c r="A234" s="11" t="s">
        <v>895</v>
      </c>
    </row>
    <row r="235" spans="1:1" x14ac:dyDescent="0.2">
      <c r="A235" s="11"/>
    </row>
    <row r="236" spans="1:1" x14ac:dyDescent="0.2">
      <c r="A236" s="11" t="e" cm="1">
        <f t="array" ref="A236">-- End of SCHEMA</f>
        <v>#NAME?</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33FB6-A8B8-B241-9C80-D90B31A95945}">
  <dimension ref="A1:I8"/>
  <sheetViews>
    <sheetView workbookViewId="0"/>
  </sheetViews>
  <sheetFormatPr baseColWidth="10" defaultRowHeight="16" x14ac:dyDescent="0.2"/>
  <sheetData>
    <row r="1" spans="1:9" x14ac:dyDescent="0.2">
      <c r="A1" t="s">
        <v>21</v>
      </c>
      <c r="B1" t="s">
        <v>195</v>
      </c>
      <c r="C1" t="s">
        <v>531</v>
      </c>
      <c r="D1" t="s">
        <v>532</v>
      </c>
      <c r="E1" t="s">
        <v>968</v>
      </c>
      <c r="F1" t="s">
        <v>969</v>
      </c>
      <c r="G1" t="s">
        <v>686</v>
      </c>
      <c r="H1" t="s">
        <v>512</v>
      </c>
      <c r="I1" t="s">
        <v>970</v>
      </c>
    </row>
    <row r="2" spans="1:9" x14ac:dyDescent="0.2">
      <c r="A2" t="s">
        <v>22</v>
      </c>
      <c r="B2" t="s">
        <v>528</v>
      </c>
      <c r="C2" t="s">
        <v>410</v>
      </c>
      <c r="D2" t="s">
        <v>529</v>
      </c>
      <c r="E2" t="s">
        <v>509</v>
      </c>
      <c r="F2">
        <v>435500</v>
      </c>
      <c r="H2" t="s">
        <v>513</v>
      </c>
      <c r="I2" t="s">
        <v>27</v>
      </c>
    </row>
    <row r="3" spans="1:9" x14ac:dyDescent="0.2">
      <c r="A3" t="s">
        <v>22</v>
      </c>
      <c r="B3" t="s">
        <v>608</v>
      </c>
      <c r="C3" t="s">
        <v>483</v>
      </c>
      <c r="D3" t="s">
        <v>529</v>
      </c>
      <c r="E3" t="s">
        <v>529</v>
      </c>
      <c r="F3">
        <v>549500</v>
      </c>
      <c r="H3" t="s">
        <v>513</v>
      </c>
      <c r="I3" t="s">
        <v>27</v>
      </c>
    </row>
    <row r="4" spans="1:9" x14ac:dyDescent="0.2">
      <c r="A4" t="s">
        <v>23</v>
      </c>
      <c r="B4" t="s">
        <v>607</v>
      </c>
      <c r="C4" t="s">
        <v>25</v>
      </c>
      <c r="F4" t="e">
        <v>#REF!</v>
      </c>
      <c r="G4" t="e">
        <v>#REF!</v>
      </c>
      <c r="H4" t="s">
        <v>514</v>
      </c>
      <c r="I4" t="s">
        <v>28</v>
      </c>
    </row>
    <row r="5" spans="1:9" x14ac:dyDescent="0.2">
      <c r="A5" t="s">
        <v>603</v>
      </c>
      <c r="B5" t="s">
        <v>620</v>
      </c>
      <c r="C5" t="s">
        <v>621</v>
      </c>
      <c r="D5" t="s">
        <v>529</v>
      </c>
      <c r="E5" t="s">
        <v>622</v>
      </c>
      <c r="F5">
        <v>3517.06351630581</v>
      </c>
      <c r="G5">
        <v>42204.762195669697</v>
      </c>
      <c r="H5" t="s">
        <v>514</v>
      </c>
      <c r="I5" t="s">
        <v>28</v>
      </c>
    </row>
    <row r="6" spans="1:9" x14ac:dyDescent="0.2">
      <c r="A6" t="s">
        <v>25</v>
      </c>
      <c r="B6" t="s">
        <v>679</v>
      </c>
      <c r="C6" t="s">
        <v>676</v>
      </c>
      <c r="D6" t="s">
        <v>613</v>
      </c>
      <c r="E6" t="s">
        <v>683</v>
      </c>
      <c r="F6">
        <v>471.917682972477</v>
      </c>
      <c r="G6">
        <v>5663.0121956697303</v>
      </c>
      <c r="H6" t="s">
        <v>514</v>
      </c>
      <c r="I6" t="s">
        <v>28</v>
      </c>
    </row>
    <row r="7" spans="1:9" x14ac:dyDescent="0.2">
      <c r="A7" t="s">
        <v>25</v>
      </c>
      <c r="B7" t="s">
        <v>680</v>
      </c>
      <c r="C7" t="s">
        <v>677</v>
      </c>
      <c r="D7" t="s">
        <v>682</v>
      </c>
      <c r="E7" t="s">
        <v>684</v>
      </c>
      <c r="F7" t="e">
        <v>#REF!</v>
      </c>
      <c r="G7" t="e">
        <v>#REF!</v>
      </c>
      <c r="H7" t="s">
        <v>514</v>
      </c>
      <c r="I7" t="s">
        <v>28</v>
      </c>
    </row>
    <row r="8" spans="1:9" x14ac:dyDescent="0.2">
      <c r="A8" t="s">
        <v>25</v>
      </c>
      <c r="B8" t="s">
        <v>681</v>
      </c>
      <c r="C8" t="s">
        <v>678</v>
      </c>
      <c r="D8" t="s">
        <v>529</v>
      </c>
      <c r="E8" t="s">
        <v>685</v>
      </c>
      <c r="F8" t="e">
        <v>#REF!</v>
      </c>
      <c r="G8" t="e">
        <v>#REF!</v>
      </c>
      <c r="H8" t="s">
        <v>514</v>
      </c>
      <c r="I8" t="s">
        <v>28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2E672-2A1A-B645-9694-A3C75E768C28}">
  <dimension ref="A1:A76"/>
  <sheetViews>
    <sheetView workbookViewId="0"/>
  </sheetViews>
  <sheetFormatPr baseColWidth="10" defaultRowHeight="16" x14ac:dyDescent="0.2"/>
  <cols>
    <col min="1" max="1" width="83.33203125" customWidth="1"/>
  </cols>
  <sheetData>
    <row r="1" spans="1:1" ht="19" x14ac:dyDescent="0.25">
      <c r="A1" s="8" t="s">
        <v>992</v>
      </c>
    </row>
    <row r="2" spans="1:1" x14ac:dyDescent="0.2">
      <c r="A2" t="s">
        <v>993</v>
      </c>
    </row>
    <row r="4" spans="1:1" x14ac:dyDescent="0.2">
      <c r="A4" s="6" t="s">
        <v>994</v>
      </c>
    </row>
    <row r="6" spans="1:1" x14ac:dyDescent="0.2">
      <c r="A6" t="s">
        <v>995</v>
      </c>
    </row>
    <row r="7" spans="1:1" x14ac:dyDescent="0.2">
      <c r="A7" t="s">
        <v>996</v>
      </c>
    </row>
    <row r="8" spans="1:1" x14ac:dyDescent="0.2">
      <c r="A8" t="s">
        <v>997</v>
      </c>
    </row>
    <row r="9" spans="1:1" x14ac:dyDescent="0.2">
      <c r="A9" t="s">
        <v>998</v>
      </c>
    </row>
    <row r="10" spans="1:1" x14ac:dyDescent="0.2">
      <c r="A10" t="s">
        <v>999</v>
      </c>
    </row>
    <row r="12" spans="1:1" x14ac:dyDescent="0.2">
      <c r="A12" s="6" t="s">
        <v>1000</v>
      </c>
    </row>
    <row r="14" spans="1:1" x14ac:dyDescent="0.2">
      <c r="A14" s="6" t="s">
        <v>1001</v>
      </c>
    </row>
    <row r="15" spans="1:1" x14ac:dyDescent="0.2">
      <c r="A15" t="s">
        <v>1002</v>
      </c>
    </row>
    <row r="16" spans="1:1" x14ac:dyDescent="0.2">
      <c r="A16" s="6" t="s">
        <v>1003</v>
      </c>
    </row>
    <row r="17" spans="1:1" x14ac:dyDescent="0.2">
      <c r="A17" t="s">
        <v>1004</v>
      </c>
    </row>
    <row r="18" spans="1:1" x14ac:dyDescent="0.2">
      <c r="A18" s="6" t="s">
        <v>1005</v>
      </c>
    </row>
    <row r="20" spans="1:1" x14ac:dyDescent="0.2">
      <c r="A20" s="6" t="s">
        <v>1006</v>
      </c>
    </row>
    <row r="21" spans="1:1" x14ac:dyDescent="0.2">
      <c r="A21" t="s">
        <v>1007</v>
      </c>
    </row>
    <row r="22" spans="1:1" x14ac:dyDescent="0.2">
      <c r="A22" s="6" t="s">
        <v>1008</v>
      </c>
    </row>
    <row r="24" spans="1:1" x14ac:dyDescent="0.2">
      <c r="A24" s="6" t="s">
        <v>1009</v>
      </c>
    </row>
    <row r="25" spans="1:1" x14ac:dyDescent="0.2">
      <c r="A25" t="s">
        <v>1010</v>
      </c>
    </row>
    <row r="26" spans="1:1" x14ac:dyDescent="0.2">
      <c r="A26" s="6" t="s">
        <v>1011</v>
      </c>
    </row>
    <row r="27" spans="1:1" x14ac:dyDescent="0.2">
      <c r="A27" t="s">
        <v>1012</v>
      </c>
    </row>
    <row r="28" spans="1:1" x14ac:dyDescent="0.2">
      <c r="A28" s="6" t="s">
        <v>1013</v>
      </c>
    </row>
    <row r="29" spans="1:1" x14ac:dyDescent="0.2">
      <c r="A29" t="s">
        <v>1014</v>
      </c>
    </row>
    <row r="31" spans="1:1" x14ac:dyDescent="0.2">
      <c r="A31" s="6" t="s">
        <v>1015</v>
      </c>
    </row>
    <row r="32" spans="1:1" x14ac:dyDescent="0.2">
      <c r="A32" t="s">
        <v>1016</v>
      </c>
    </row>
    <row r="33" spans="1:1" x14ac:dyDescent="0.2">
      <c r="A33" t="s">
        <v>1017</v>
      </c>
    </row>
    <row r="34" spans="1:1" x14ac:dyDescent="0.2">
      <c r="A34" t="s">
        <v>1013</v>
      </c>
    </row>
    <row r="35" spans="1:1" x14ac:dyDescent="0.2">
      <c r="A35" t="s">
        <v>1018</v>
      </c>
    </row>
    <row r="37" spans="1:1" x14ac:dyDescent="0.2">
      <c r="A37" s="6" t="s">
        <v>1019</v>
      </c>
    </row>
    <row r="38" spans="1:1" x14ac:dyDescent="0.2">
      <c r="A38" t="s">
        <v>1020</v>
      </c>
    </row>
    <row r="39" spans="1:1" x14ac:dyDescent="0.2">
      <c r="A39" t="s">
        <v>1021</v>
      </c>
    </row>
    <row r="40" spans="1:1" x14ac:dyDescent="0.2">
      <c r="A40" t="s">
        <v>1022</v>
      </c>
    </row>
    <row r="41" spans="1:1" x14ac:dyDescent="0.2">
      <c r="A41" t="s">
        <v>1023</v>
      </c>
    </row>
    <row r="43" spans="1:1" x14ac:dyDescent="0.2">
      <c r="A43" s="6" t="s">
        <v>1024</v>
      </c>
    </row>
    <row r="44" spans="1:1" x14ac:dyDescent="0.2">
      <c r="A44" t="s">
        <v>1025</v>
      </c>
    </row>
    <row r="45" spans="1:1" x14ac:dyDescent="0.2">
      <c r="A45" t="s">
        <v>1026</v>
      </c>
    </row>
    <row r="46" spans="1:1" x14ac:dyDescent="0.2">
      <c r="A46" t="s">
        <v>1027</v>
      </c>
    </row>
    <row r="48" spans="1:1" x14ac:dyDescent="0.2">
      <c r="A48" s="6" t="s">
        <v>1028</v>
      </c>
    </row>
    <row r="49" spans="1:1" x14ac:dyDescent="0.2">
      <c r="A49" t="s">
        <v>1029</v>
      </c>
    </row>
    <row r="50" spans="1:1" x14ac:dyDescent="0.2">
      <c r="A50" t="s">
        <v>1030</v>
      </c>
    </row>
    <row r="51" spans="1:1" x14ac:dyDescent="0.2">
      <c r="A51" t="s">
        <v>1031</v>
      </c>
    </row>
    <row r="52" spans="1:1" x14ac:dyDescent="0.2">
      <c r="A52" t="s">
        <v>1032</v>
      </c>
    </row>
    <row r="54" spans="1:1" x14ac:dyDescent="0.2">
      <c r="A54" s="6" t="s">
        <v>1033</v>
      </c>
    </row>
    <row r="55" spans="1:1" x14ac:dyDescent="0.2">
      <c r="A55" t="s">
        <v>1034</v>
      </c>
    </row>
    <row r="56" spans="1:1" x14ac:dyDescent="0.2">
      <c r="A56" t="s">
        <v>1035</v>
      </c>
    </row>
    <row r="57" spans="1:1" x14ac:dyDescent="0.2">
      <c r="A57" t="s">
        <v>1031</v>
      </c>
    </row>
    <row r="58" spans="1:1" x14ac:dyDescent="0.2">
      <c r="A58" t="s">
        <v>1036</v>
      </c>
    </row>
    <row r="60" spans="1:1" x14ac:dyDescent="0.2">
      <c r="A60" s="6" t="s">
        <v>1037</v>
      </c>
    </row>
    <row r="61" spans="1:1" x14ac:dyDescent="0.2">
      <c r="A61" t="s">
        <v>1038</v>
      </c>
    </row>
    <row r="62" spans="1:1" x14ac:dyDescent="0.2">
      <c r="A62" t="s">
        <v>1039</v>
      </c>
    </row>
    <row r="64" spans="1:1" x14ac:dyDescent="0.2">
      <c r="A64" s="6" t="s">
        <v>1040</v>
      </c>
    </row>
    <row r="65" spans="1:1" x14ac:dyDescent="0.2">
      <c r="A65" t="s">
        <v>1041</v>
      </c>
    </row>
    <row r="66" spans="1:1" x14ac:dyDescent="0.2">
      <c r="A66" t="s">
        <v>1042</v>
      </c>
    </row>
    <row r="68" spans="1:1" x14ac:dyDescent="0.2">
      <c r="A68" s="6" t="s">
        <v>1043</v>
      </c>
    </row>
    <row r="69" spans="1:1" x14ac:dyDescent="0.2">
      <c r="A69" t="s">
        <v>1044</v>
      </c>
    </row>
    <row r="70" spans="1:1" x14ac:dyDescent="0.2">
      <c r="A70" t="s">
        <v>1045</v>
      </c>
    </row>
    <row r="71" spans="1:1" x14ac:dyDescent="0.2">
      <c r="A71" t="s">
        <v>1046</v>
      </c>
    </row>
    <row r="72" spans="1:1" x14ac:dyDescent="0.2">
      <c r="A72" t="s">
        <v>1047</v>
      </c>
    </row>
    <row r="73" spans="1:1" x14ac:dyDescent="0.2">
      <c r="A73" t="s">
        <v>1048</v>
      </c>
    </row>
    <row r="74" spans="1:1" x14ac:dyDescent="0.2">
      <c r="A74" t="s">
        <v>1049</v>
      </c>
    </row>
    <row r="75" spans="1:1" x14ac:dyDescent="0.2">
      <c r="A75" t="s">
        <v>1050</v>
      </c>
    </row>
    <row r="76" spans="1:1" x14ac:dyDescent="0.2">
      <c r="A76" t="s">
        <v>1051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12</vt:i4>
      </vt:variant>
      <vt:variant>
        <vt:lpstr>Named Ranges</vt:lpstr>
      </vt:variant>
      <vt:variant>
        <vt:i4>4</vt:i4>
      </vt:variant>
    </vt:vector>
  </HeadingPairs>
  <TitlesOfParts>
    <vt:vector size="16" baseType="lpstr">
      <vt:lpstr>Overview</vt:lpstr>
      <vt:lpstr>1) Cost Elements</vt:lpstr>
      <vt:lpstr>2) Reduction Opportunities</vt:lpstr>
      <vt:lpstr>3) Barriers and Levers</vt:lpstr>
      <vt:lpstr>4) Actor Control Matrix</vt:lpstr>
      <vt:lpstr>5) Financing Conditions</vt:lpstr>
      <vt:lpstr>6) CRO-CE Map</vt:lpstr>
      <vt:lpstr>7) Controlled Vocabularies</vt:lpstr>
      <vt:lpstr>8) Scenarios</vt:lpstr>
      <vt:lpstr>9) DB Schema</vt:lpstr>
      <vt:lpstr>1z) Cost Elements - Summary</vt:lpstr>
      <vt:lpstr>Changelog</vt:lpstr>
      <vt:lpstr>'1) Cost Elements'!_FilterDatabase</vt:lpstr>
      <vt:lpstr>'1) Cost Elements'!Print_Area</vt:lpstr>
      <vt:lpstr>'2) Reduction Opportunities'!Print_Area</vt:lpstr>
      <vt:lpstr>'3) Barriers and Levers'!Print_Area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Erik Mikysa</dc:creator>
  <cp:lastModifiedBy>Erik Mikysa</cp:lastModifiedBy>
  <cp:lastPrinted>2026-01-29T17:19:58Z</cp:lastPrinted>
  <dcterms:created xsi:type="dcterms:W3CDTF">2026-01-29T03:26:53Z</dcterms:created>
  <dcterms:modified xsi:type="dcterms:W3CDTF">2026-01-30T18:19:13Z</dcterms:modified>
</cp:coreProperties>
</file>