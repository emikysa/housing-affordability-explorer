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ItemDetail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'LineItemDetail'!$A$1:$M$8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5" customWidth="1" min="3" max="3"/>
    <col width="16" customWidth="1" min="4" max="4"/>
    <col width="45" customWidth="1" min="5" max="5"/>
    <col width="8" customWidth="1" min="6" max="6"/>
    <col width="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30" customWidth="1" min="13" max="13"/>
  </cols>
  <sheetData>
    <row r="1">
      <c r="A1" s="1" t="inlineStr">
        <is>
          <t>LineItem_ID</t>
        </is>
      </c>
      <c r="B1" s="1" t="inlineStr">
        <is>
          <t>Project_ID</t>
        </is>
      </c>
      <c r="C1" s="1" t="inlineStr">
        <is>
          <t>CE_Path</t>
        </is>
      </c>
      <c r="D1" s="1" t="inlineStr">
        <is>
          <t>CE_Code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Unit</t>
        </is>
      </c>
      <c r="H1" s="1" t="inlineStr">
        <is>
          <t>Unit_Cost</t>
        </is>
      </c>
      <c r="I1" s="1" t="inlineStr">
        <is>
          <t>Extended_Cost</t>
        </is>
      </c>
      <c r="J1" s="1" t="inlineStr">
        <is>
          <t>CostComponent</t>
        </is>
      </c>
      <c r="K1" s="1" t="inlineStr">
        <is>
          <t>Vendor</t>
        </is>
      </c>
      <c r="L1" s="1" t="inlineStr">
        <is>
          <t>Quote_Ref</t>
        </is>
      </c>
      <c r="M1" s="1" t="inlineStr">
        <is>
          <t>Notes</t>
        </is>
      </c>
    </row>
    <row r="2">
      <c r="A2" s="2" t="inlineStr">
        <is>
          <t>LI-001</t>
        </is>
      </c>
      <c r="B2" s="2" t="inlineStr">
        <is>
          <t>PROJ-001</t>
        </is>
      </c>
      <c r="C2" s="2" t="inlineStr">
        <is>
          <t>B07-HardCosts &gt; Structure &gt; Foundation &gt; Deep &gt; Helical piles</t>
        </is>
      </c>
      <c r="D2" s="2" t="inlineStr">
        <is>
          <t>B07-HardCosts</t>
        </is>
      </c>
      <c r="E2" s="2" t="inlineStr">
        <is>
          <t>RS3500 10" helix pile, lead section</t>
        </is>
      </c>
      <c r="F2" s="2" t="n">
        <v>12</v>
      </c>
      <c r="G2" s="2" t="inlineStr">
        <is>
          <t>EA</t>
        </is>
      </c>
      <c r="H2" s="3" t="n">
        <v>185</v>
      </c>
      <c r="I2" s="3">
        <f>F2*H2</f>
        <v/>
      </c>
      <c r="J2" s="2" t="inlineStr">
        <is>
          <t>Material</t>
        </is>
      </c>
      <c r="K2" s="2" t="inlineStr">
        <is>
          <t>Magnum Piering</t>
        </is>
      </c>
      <c r="L2" s="2" t="inlineStr">
        <is>
          <t>Q-2024-001</t>
        </is>
      </c>
      <c r="M2" s="2" t="inlineStr">
        <is>
          <t>Standard galvanized</t>
        </is>
      </c>
    </row>
    <row r="3">
      <c r="A3" s="2" t="inlineStr">
        <is>
          <t>LI-002</t>
        </is>
      </c>
      <c r="B3" s="2" t="inlineStr">
        <is>
          <t>PROJ-001</t>
        </is>
      </c>
      <c r="C3" s="2" t="inlineStr">
        <is>
          <t>B07-HardCosts &gt; Structure &gt; Foundation &gt; Deep &gt; Helical piles</t>
        </is>
      </c>
      <c r="D3" s="2" t="inlineStr">
        <is>
          <t>B07-HardCosts</t>
        </is>
      </c>
      <c r="E3" s="2" t="inlineStr">
        <is>
          <t>RS3500 10" helix pile extension, 7ft</t>
        </is>
      </c>
      <c r="F3" s="2" t="n">
        <v>24</v>
      </c>
      <c r="G3" s="2" t="inlineStr">
        <is>
          <t>EA</t>
        </is>
      </c>
      <c r="H3" s="3" t="n">
        <v>95</v>
      </c>
      <c r="I3" s="3">
        <f>F3*H3</f>
        <v/>
      </c>
      <c r="J3" s="2" t="inlineStr">
        <is>
          <t>Material</t>
        </is>
      </c>
      <c r="K3" s="2" t="inlineStr">
        <is>
          <t>Magnum Piering</t>
        </is>
      </c>
      <c r="L3" s="2" t="inlineStr">
        <is>
          <t>Q-2024-001</t>
        </is>
      </c>
      <c r="M3" s="2" t="inlineStr"/>
    </row>
    <row r="4">
      <c r="A4" s="2" t="inlineStr">
        <is>
          <t>LI-003</t>
        </is>
      </c>
      <c r="B4" s="2" t="inlineStr">
        <is>
          <t>PROJ-001</t>
        </is>
      </c>
      <c r="C4" s="2" t="inlineStr">
        <is>
          <t>B07-HardCosts &gt; Structure &gt; Foundation &gt; Deep &gt; Helical piles</t>
        </is>
      </c>
      <c r="D4" s="2" t="inlineStr">
        <is>
          <t>B07-HardCosts</t>
        </is>
      </c>
      <c r="E4" s="2" t="inlineStr">
        <is>
          <t>Helical pile installation</t>
        </is>
      </c>
      <c r="F4" s="2" t="n">
        <v>12</v>
      </c>
      <c r="G4" s="2" t="inlineStr">
        <is>
          <t>EA</t>
        </is>
      </c>
      <c r="H4" s="3" t="n">
        <v>250</v>
      </c>
      <c r="I4" s="3">
        <f>F4*H4</f>
        <v/>
      </c>
      <c r="J4" s="2" t="inlineStr">
        <is>
          <t>Labor</t>
        </is>
      </c>
      <c r="K4" s="2" t="inlineStr"/>
      <c r="L4" s="2" t="inlineStr"/>
      <c r="M4" s="2" t="inlineStr">
        <is>
          <t>Includes torque verification</t>
        </is>
      </c>
    </row>
    <row r="5">
      <c r="A5" s="2" t="inlineStr">
        <is>
          <t>LI-004</t>
        </is>
      </c>
      <c r="B5" s="2" t="inlineStr">
        <is>
          <t>PROJ-001</t>
        </is>
      </c>
      <c r="C5" s="2" t="inlineStr">
        <is>
          <t>B07-HardCosts &gt; Structure &gt; Foundation &gt; Deep &gt; Helical piles</t>
        </is>
      </c>
      <c r="D5" s="2" t="inlineStr">
        <is>
          <t>B07-HardCosts</t>
        </is>
      </c>
      <c r="E5" s="2" t="inlineStr">
        <is>
          <t>New construction bracket, NCB3500</t>
        </is>
      </c>
      <c r="F5" s="2" t="n">
        <v>12</v>
      </c>
      <c r="G5" s="2" t="inlineStr">
        <is>
          <t>EA</t>
        </is>
      </c>
      <c r="H5" s="3" t="n">
        <v>125</v>
      </c>
      <c r="I5" s="3">
        <f>F5*H5</f>
        <v/>
      </c>
      <c r="J5" s="2" t="inlineStr">
        <is>
          <t>Material</t>
        </is>
      </c>
      <c r="K5" s="2" t="inlineStr">
        <is>
          <t>Magnum Piering</t>
        </is>
      </c>
      <c r="L5" s="2" t="inlineStr">
        <is>
          <t>Q-2024-001</t>
        </is>
      </c>
      <c r="M5" s="2" t="inlineStr"/>
    </row>
    <row r="6">
      <c r="A6" s="2" t="inlineStr">
        <is>
          <t>LI-005</t>
        </is>
      </c>
      <c r="B6" s="2" t="inlineStr">
        <is>
          <t>PROJ-001</t>
        </is>
      </c>
      <c r="C6" s="2" t="inlineStr">
        <is>
          <t>B07-HardCosts &gt; Structure &gt; Foundation &gt; Deep &gt; Helical piles</t>
        </is>
      </c>
      <c r="D6" s="2" t="inlineStr">
        <is>
          <t>B07-HardCosts</t>
        </is>
      </c>
      <c r="E6" s="2" t="inlineStr">
        <is>
          <t>Mobilization</t>
        </is>
      </c>
      <c r="F6" s="2" t="n">
        <v>1</v>
      </c>
      <c r="G6" s="2" t="inlineStr">
        <is>
          <t>LS</t>
        </is>
      </c>
      <c r="H6" s="3" t="n">
        <v>1500</v>
      </c>
      <c r="I6" s="3">
        <f>F6*H6</f>
        <v/>
      </c>
      <c r="J6" s="2" t="inlineStr">
        <is>
          <t>Sub-O+P</t>
        </is>
      </c>
      <c r="K6" s="2" t="inlineStr"/>
      <c r="L6" s="2" t="inlineStr"/>
      <c r="M6" s="2" t="inlineStr">
        <is>
          <t>Equipment transport</t>
        </is>
      </c>
    </row>
    <row r="7">
      <c r="A7" s="2" t="inlineStr">
        <is>
          <t>LI-006</t>
        </is>
      </c>
      <c r="B7" s="2" t="inlineStr">
        <is>
          <t>PROJ-001</t>
        </is>
      </c>
      <c r="C7" s="2" t="inlineStr">
        <is>
          <t>B07-HardCosts &gt; Structure &gt; Framing &gt; Floor &gt; Joists</t>
        </is>
      </c>
      <c r="D7" s="2" t="inlineStr">
        <is>
          <t>B07-HardCosts</t>
        </is>
      </c>
      <c r="E7" s="2" t="inlineStr">
        <is>
          <t>2x10x16 SPF #2, floor joists</t>
        </is>
      </c>
      <c r="F7" s="2" t="n">
        <v>48</v>
      </c>
      <c r="G7" s="2" t="inlineStr">
        <is>
          <t>EA</t>
        </is>
      </c>
      <c r="H7" s="3" t="n">
        <v>12.5</v>
      </c>
      <c r="I7" s="3">
        <f>F7*H7</f>
        <v/>
      </c>
      <c r="J7" s="2" t="inlineStr">
        <is>
          <t>Material</t>
        </is>
      </c>
      <c r="K7" s="2" t="inlineStr">
        <is>
          <t>Home Depot Pro</t>
        </is>
      </c>
      <c r="L7" s="2" t="inlineStr"/>
      <c r="M7" s="2" t="inlineStr">
        <is>
          <t>16" OC</t>
        </is>
      </c>
    </row>
    <row r="8">
      <c r="A8" s="2" t="inlineStr">
        <is>
          <t>LI-007</t>
        </is>
      </c>
      <c r="B8" s="2" t="inlineStr">
        <is>
          <t>PROJ-001</t>
        </is>
      </c>
      <c r="C8" s="2" t="inlineStr">
        <is>
          <t>B07-HardCosts &gt; Structure &gt; Framing &gt; Floor &gt; Joists</t>
        </is>
      </c>
      <c r="D8" s="2" t="inlineStr">
        <is>
          <t>B07-HardCosts</t>
        </is>
      </c>
      <c r="E8" s="2" t="inlineStr">
        <is>
          <t>Floor framing labor</t>
        </is>
      </c>
      <c r="F8" s="2" t="n">
        <v>384</v>
      </c>
      <c r="G8" s="2" t="inlineStr">
        <is>
          <t>LF</t>
        </is>
      </c>
      <c r="H8" s="3" t="n">
        <v>2.25</v>
      </c>
      <c r="I8" s="3">
        <f>F8*H8</f>
        <v/>
      </c>
      <c r="J8" s="2" t="inlineStr">
        <is>
          <t>Labor</t>
        </is>
      </c>
      <c r="K8" s="2" t="inlineStr"/>
      <c r="L8" s="2" t="inlineStr"/>
      <c r="M8" s="2" t="inlineStr"/>
    </row>
  </sheetData>
  <autoFilter ref="A1:M8"/>
  <dataValidations count="2">
    <dataValidation sqref="G2:G1000" showDropDown="0" showInputMessage="0" showErrorMessage="0" allowBlank="1" errorTitle="Invalid Unit" error="Select from list" type="list">
      <formula1>"EA,LF,SF,SY,CY,TON,GAL,HR,LS,MO,YR,PCT"</formula1>
    </dataValidation>
    <dataValidation sqref="J2:J1000" showDropDown="0" showInputMessage="0" showErrorMessage="0" allowBlank="1" errorTitle="Invalid Cost Component" error="Select from list" type="list">
      <formula1>"Material,Labor,Sub-O+P,Total"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4" t="inlineStr">
        <is>
          <t>LINE ITEM DETAIL TABLE - README</t>
        </is>
      </c>
    </row>
    <row r="2">
      <c r="A2" t="inlineStr"/>
    </row>
    <row r="3">
      <c r="A3" s="5" t="inlineStr">
        <is>
          <t>PURPOSE:</t>
        </is>
      </c>
    </row>
    <row r="4">
      <c r="A4" t="inlineStr">
        <is>
          <t>This table captures detailed quantity takeoffs and pricing that roll up to the CE Drilldown categories.</t>
        </is>
      </c>
    </row>
    <row r="5">
      <c r="A5" t="inlineStr">
        <is>
          <t>Use this for project-specific detail while keeping the CE Drilldown at the 'estimating category' level.</t>
        </is>
      </c>
    </row>
    <row r="6">
      <c r="A6" t="inlineStr"/>
    </row>
    <row r="7">
      <c r="A7" s="5" t="inlineStr">
        <is>
          <t>COLUMNS:</t>
        </is>
      </c>
    </row>
    <row r="8">
      <c r="A8" t="inlineStr">
        <is>
          <t>LineItem_ID</t>
        </is>
      </c>
      <c r="B8" t="inlineStr">
        <is>
          <t>Unique identifier for each line item</t>
        </is>
      </c>
    </row>
    <row r="9">
      <c r="A9" t="inlineStr">
        <is>
          <t>Project_ID</t>
        </is>
      </c>
      <c r="B9" t="inlineStr">
        <is>
          <t>Links to project (foreign key)</t>
        </is>
      </c>
    </row>
    <row r="10">
      <c r="A10" t="inlineStr">
        <is>
          <t>CE_Path</t>
        </is>
      </c>
      <c r="B10" t="inlineStr">
        <is>
          <t>Full path in CE hierarchy (e.g., 'B07-HardCosts &gt; Structure &gt; Foundation &gt; Deep &gt; Helical piles')</t>
        </is>
      </c>
    </row>
    <row r="11">
      <c r="A11" t="inlineStr">
        <is>
          <t>CE_Code</t>
        </is>
      </c>
      <c r="B11" t="inlineStr">
        <is>
          <t>Top-level CE code for filtering (e.g., 'B07-HardCosts')</t>
        </is>
      </c>
    </row>
    <row r="12">
      <c r="A12" t="inlineStr">
        <is>
          <t>Description</t>
        </is>
      </c>
      <c r="B12" t="inlineStr">
        <is>
          <t>Specific item description (e.g., 'RS3500 10" helix pile')</t>
        </is>
      </c>
    </row>
    <row r="13">
      <c r="A13" t="inlineStr">
        <is>
          <t>Qty</t>
        </is>
      </c>
      <c r="B13" t="inlineStr">
        <is>
          <t>Quantity</t>
        </is>
      </c>
    </row>
    <row r="14">
      <c r="A14" t="inlineStr">
        <is>
          <t>Unit</t>
        </is>
      </c>
      <c r="B14" t="inlineStr">
        <is>
          <t>Unit of measure (EA, LF, SF, SY, CY, TON, GAL, HR, LS, MO, YR, PCT)</t>
        </is>
      </c>
    </row>
    <row r="15">
      <c r="A15" t="inlineStr">
        <is>
          <t>Unit_Cost</t>
        </is>
      </c>
      <c r="B15" t="inlineStr">
        <is>
          <t>Cost per unit</t>
        </is>
      </c>
    </row>
    <row r="16">
      <c r="A16" t="inlineStr">
        <is>
          <t>Extended_Cost</t>
        </is>
      </c>
      <c r="B16" t="inlineStr">
        <is>
          <t>Formula: Qty × Unit_Cost</t>
        </is>
      </c>
    </row>
    <row r="17">
      <c r="A17" t="inlineStr">
        <is>
          <t>CostComponent</t>
        </is>
      </c>
      <c r="B17" t="inlineStr">
        <is>
          <t>Material, Labor, Sub-O+P, or Total</t>
        </is>
      </c>
    </row>
    <row r="18">
      <c r="A18" t="inlineStr">
        <is>
          <t>Vendor</t>
        </is>
      </c>
      <c r="B18" t="inlineStr">
        <is>
          <t>Optional: vendor or subcontractor name</t>
        </is>
      </c>
    </row>
    <row r="19">
      <c r="A19" t="inlineStr">
        <is>
          <t>Quote_Ref</t>
        </is>
      </c>
      <c r="B19" t="inlineStr">
        <is>
          <t>Optional: quote or proposal reference</t>
        </is>
      </c>
    </row>
    <row r="20">
      <c r="A20" t="inlineStr">
        <is>
          <t>Notes</t>
        </is>
      </c>
      <c r="B20" t="inlineStr">
        <is>
          <t>Optional: additional notes</t>
        </is>
      </c>
    </row>
    <row r="21">
      <c r="A21" t="inlineStr"/>
    </row>
    <row r="22">
      <c r="A22" s="5" t="inlineStr">
        <is>
          <t>USAGE PATTERNS:</t>
        </is>
      </c>
    </row>
    <row r="23">
      <c r="A23" t="inlineStr">
        <is>
          <t>1. Enter detailed line items with specific products, sizes, quantities</t>
        </is>
      </c>
    </row>
    <row r="24">
      <c r="A24" t="inlineStr">
        <is>
          <t>2. Use CE_Path to link to the appropriate category in CE Drilldown</t>
        </is>
      </c>
    </row>
    <row r="25">
      <c r="A25" t="inlineStr">
        <is>
          <t>3. Roll up Extended_Cost by CE_Path to populate CE Drilldown totals</t>
        </is>
      </c>
    </row>
    <row r="26">
      <c r="A26" t="inlineStr">
        <is>
          <t>4. Filter by CostComponent to analyze material vs labor vs sub overhead</t>
        </is>
      </c>
    </row>
    <row r="27">
      <c r="A27" t="inlineStr">
        <is>
          <t>5. Use Vendor and Quote_Ref to track pricing sources</t>
        </is>
      </c>
    </row>
    <row r="28">
      <c r="A28" t="inlineStr"/>
    </row>
    <row r="29">
      <c r="A29" s="5" t="inlineStr">
        <is>
          <t>UNIT ABBREVIATIONS:</t>
        </is>
      </c>
    </row>
    <row r="30">
      <c r="A30" t="inlineStr">
        <is>
          <t>EA = Each, LF = Linear Foot, SF = Square Foot, SY = Square Yard</t>
        </is>
      </c>
    </row>
    <row r="31">
      <c r="A31" t="inlineStr">
        <is>
          <t>CY = Cubic Yard, TON = Ton, GAL = Gallon, HR = Hour</t>
        </is>
      </c>
    </row>
    <row r="32">
      <c r="A32" t="inlineStr">
        <is>
          <t>LS = Lump Sum, MO = Month, YR = Year, PCT =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2026-01-31T21:57:04Z</dcterms:created>
  <dcterms:modified xmlns:dcterms="http://purl.org/dc/terms/" xmlns:xsi="http://www.w3.org/2001/XMLSchema-instance" xsi:type="dcterms:W3CDTF">2026-01-31T21:57:04Z</dcterms:modified>
</cp:coreProperties>
</file>